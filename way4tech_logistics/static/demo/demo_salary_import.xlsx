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Import" sheetId="1" state="visible" r:id="rId1"/>
    <sheet xmlns:r="http://schemas.openxmlformats.org/officeDocument/2006/relationships" name="Legend &amp; Instructions" sheetId="2" state="visible" r:id="rId2"/>
    <sheet xmlns:r="http://schemas.openxmlformats.org/officeDocument/2006/relationships" name="Platform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F3A5F"/>
      <sz val="11"/>
    </font>
    <font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0" fontId="1" fillId="8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1" customWidth="1" min="4" max="4"/>
    <col width="16" customWidth="1" min="5" max="5"/>
    <col width="13" customWidth="1" min="6" max="6"/>
    <col width="14" customWidth="1" min="7" max="7"/>
    <col width="8" customWidth="1" min="8" max="8"/>
    <col width="8" customWidth="1" min="9" max="9"/>
    <col width="10" customWidth="1" min="10" max="10"/>
    <col width="14" customWidth="1" min="11" max="11"/>
    <col width="11" customWidth="1" min="12" max="12"/>
    <col width="14" customWidth="1" min="13" max="13"/>
    <col width="8" customWidth="1" min="14" max="14"/>
    <col width="14" customWidth="1" min="15" max="15"/>
    <col width="10" customWidth="1" min="16" max="16"/>
    <col width="10" customWidth="1" min="17" max="17"/>
    <col width="8" customWidth="1" min="18" max="18"/>
    <col width="14" customWidth="1" min="19" max="19"/>
    <col width="8" customWidth="1" min="20" max="20"/>
    <col width="46" customWidth="1" min="21" max="21"/>
  </cols>
  <sheetData>
    <row r="1" ht="36" customHeight="1">
      <c r="A1" s="1" t="inlineStr">
        <is>
          <t>Employee Name</t>
        </is>
      </c>
      <c r="B1" s="1" t="inlineStr">
        <is>
          <t>Rider Type</t>
        </is>
      </c>
      <c r="C1" s="1" t="inlineStr">
        <is>
          <t>Platform</t>
        </is>
      </c>
      <c r="D1" s="1" t="inlineStr">
        <is>
          <t>Valid Days</t>
        </is>
      </c>
      <c r="E1" s="1" t="inlineStr">
        <is>
          <t>Orders Completed</t>
        </is>
      </c>
      <c r="F1" s="1" t="inlineStr">
        <is>
          <t>Fixed Salary</t>
        </is>
      </c>
      <c r="G1" s="1" t="inlineStr">
        <is>
          <t>Order Adjustment</t>
        </is>
      </c>
      <c r="H1" s="1" t="inlineStr">
        <is>
          <t>Bonus</t>
        </is>
      </c>
      <c r="I1" s="1" t="inlineStr">
        <is>
          <t>Petrol Allowance</t>
        </is>
      </c>
      <c r="J1" s="1" t="inlineStr">
        <is>
          <t>On-Time Deduction</t>
        </is>
      </c>
      <c r="K1" s="1" t="inlineStr">
        <is>
          <t>Food Damage Deduction</t>
        </is>
      </c>
      <c r="L1" s="1" t="inlineStr">
        <is>
          <t>Miss Day Penalty</t>
        </is>
      </c>
      <c r="M1" s="1" t="inlineStr">
        <is>
          <t>Order Rejection Ded.</t>
        </is>
      </c>
      <c r="N1" s="1" t="inlineStr">
        <is>
          <t>Misc Deduction</t>
        </is>
      </c>
      <c r="O1" s="1" t="inlineStr">
        <is>
          <t>Advance Deduction</t>
        </is>
      </c>
      <c r="P1" s="1" t="inlineStr">
        <is>
          <t>Fuel Deduction</t>
        </is>
      </c>
      <c r="Q1" s="1" t="inlineStr">
        <is>
          <t>SIM Charges</t>
        </is>
      </c>
      <c r="R1" s="1" t="inlineStr">
        <is>
          <t>Loan</t>
        </is>
      </c>
      <c r="S1" s="1" t="inlineStr">
        <is>
          <t>Traffic Violation</t>
        </is>
      </c>
      <c r="T1" s="1" t="inlineStr">
        <is>
          <t>Rent</t>
        </is>
      </c>
      <c r="U1" s="1" t="inlineStr">
        <is>
          <t>Note</t>
        </is>
      </c>
    </row>
    <row r="2">
      <c r="A2" s="2" t="inlineStr">
        <is>
          <t>Ahmed Al-Rashidi</t>
        </is>
      </c>
      <c r="B2" s="2" t="inlineStr">
        <is>
          <t>employee</t>
        </is>
      </c>
      <c r="C2" s="2" t="inlineStr">
        <is>
          <t>Hungerstation</t>
        </is>
      </c>
      <c r="D2" s="3" t="n">
        <v>28</v>
      </c>
      <c r="E2" s="3" t="n">
        <v>480</v>
      </c>
      <c r="F2" s="4" t="n"/>
      <c r="G2" s="4" t="n"/>
      <c r="H2" s="4" t="n">
        <v>100</v>
      </c>
      <c r="I2" s="4" t="n">
        <v>50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6" t="n">
        <v>500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7" t="inlineStr">
        <is>
          <t>Full month — advance recovery 500</t>
        </is>
      </c>
    </row>
    <row r="3">
      <c r="A3" s="2" t="inlineStr">
        <is>
          <t>Mohammed Al-Zahrani</t>
        </is>
      </c>
      <c r="B3" s="2" t="inlineStr">
        <is>
          <t>employee</t>
        </is>
      </c>
      <c r="C3" s="2" t="inlineStr">
        <is>
          <t>Hungerstation</t>
        </is>
      </c>
      <c r="D3" s="3" t="n">
        <v>22</v>
      </c>
      <c r="E3" s="3" t="n">
        <v>380</v>
      </c>
      <c r="F3" s="4" t="n"/>
      <c r="G3" s="4" t="n"/>
      <c r="H3" s="4" t="n">
        <v>0</v>
      </c>
      <c r="I3" s="4" t="n">
        <v>50</v>
      </c>
      <c r="J3" s="5" t="n">
        <v>0</v>
      </c>
      <c r="K3" s="5" t="n">
        <v>30</v>
      </c>
      <c r="L3" s="5" t="n">
        <v>0</v>
      </c>
      <c r="M3" s="5" t="n">
        <v>0</v>
      </c>
      <c r="N3" s="5" t="n">
        <v>0</v>
      </c>
      <c r="O3" s="6" t="n">
        <v>0</v>
      </c>
      <c r="P3" s="6" t="n">
        <v>0</v>
      </c>
      <c r="Q3" s="6" t="n">
        <v>50</v>
      </c>
      <c r="R3" s="6" t="n">
        <v>0</v>
      </c>
      <c r="S3" s="6" t="n">
        <v>0</v>
      </c>
      <c r="T3" s="6" t="n">
        <v>0</v>
      </c>
      <c r="U3" s="7" t="inlineStr">
        <is>
          <t>Below 27 days → per-order rate; food damage 30; SIM 50</t>
        </is>
      </c>
    </row>
    <row r="4">
      <c r="A4" s="2" t="inlineStr">
        <is>
          <t>Fahad Al-Dosari</t>
        </is>
      </c>
      <c r="B4" s="2" t="inlineStr">
        <is>
          <t>freelancer</t>
        </is>
      </c>
      <c r="C4" s="2" t="inlineStr">
        <is>
          <t>Keeta</t>
        </is>
      </c>
      <c r="D4" s="3" t="n">
        <v>27</v>
      </c>
      <c r="E4" s="3" t="n">
        <v>510</v>
      </c>
      <c r="F4" s="4" t="n"/>
      <c r="G4" s="4" t="n"/>
      <c r="H4" s="4" t="n">
        <v>0</v>
      </c>
      <c r="I4" s="4" t="n">
        <v>0</v>
      </c>
      <c r="J4" s="5" t="n">
        <v>50</v>
      </c>
      <c r="K4" s="5" t="n">
        <v>0</v>
      </c>
      <c r="L4" s="5" t="n">
        <v>0</v>
      </c>
      <c r="M4" s="5" t="n">
        <v>0</v>
      </c>
      <c r="N4" s="5" t="n">
        <v>0</v>
      </c>
      <c r="O4" s="6" t="n">
        <v>0</v>
      </c>
      <c r="P4" s="6" t="n">
        <v>150</v>
      </c>
      <c r="Q4" s="6" t="n">
        <v>50</v>
      </c>
      <c r="R4" s="6" t="n">
        <v>0</v>
      </c>
      <c r="S4" s="6" t="n">
        <v>0</v>
      </c>
      <c r="T4" s="6" t="n">
        <v>0</v>
      </c>
      <c r="U4" s="7" t="inlineStr">
        <is>
          <t>Keeta freelancer — excess order bonus; fuel 150; SIM 50</t>
        </is>
      </c>
    </row>
    <row r="5">
      <c r="A5" s="2" t="inlineStr">
        <is>
          <t>Abdullah Al-Otaibi</t>
        </is>
      </c>
      <c r="B5" s="2" t="inlineStr">
        <is>
          <t>employee</t>
        </is>
      </c>
      <c r="C5" s="2" t="inlineStr"/>
      <c r="D5" s="3" t="n">
        <v>30</v>
      </c>
      <c r="E5" s="3" t="n">
        <v>0</v>
      </c>
      <c r="F5" s="4" t="n">
        <v>1800</v>
      </c>
      <c r="G5" s="4" t="n">
        <v>0</v>
      </c>
      <c r="H5" s="4" t="n">
        <v>200</v>
      </c>
      <c r="I5" s="4" t="n">
        <v>100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6" t="n">
        <v>1000</v>
      </c>
      <c r="P5" s="6" t="n">
        <v>0</v>
      </c>
      <c r="Q5" s="6" t="n">
        <v>0</v>
      </c>
      <c r="R5" s="6" t="n">
        <v>500</v>
      </c>
      <c r="S5" s="6" t="n">
        <v>0</v>
      </c>
      <c r="T5" s="6" t="n">
        <v>0</v>
      </c>
      <c r="U5" s="7" t="inlineStr">
        <is>
          <t>Manual fixed salary; advance 1000; loan 500</t>
        </is>
      </c>
    </row>
    <row r="6">
      <c r="A6" s="2" t="inlineStr">
        <is>
          <t>Khalid Al-Ghamdi</t>
        </is>
      </c>
      <c r="B6" s="2" t="inlineStr">
        <is>
          <t>employee</t>
        </is>
      </c>
      <c r="C6" s="2" t="inlineStr">
        <is>
          <t>Chefz</t>
        </is>
      </c>
      <c r="D6" s="3" t="n">
        <v>27</v>
      </c>
      <c r="E6" s="3" t="n">
        <v>455</v>
      </c>
      <c r="F6" s="4" t="n"/>
      <c r="G6" s="4" t="n"/>
      <c r="H6" s="4" t="n">
        <v>0</v>
      </c>
      <c r="I6" s="4" t="n">
        <v>50</v>
      </c>
      <c r="J6" s="5" t="n">
        <v>100</v>
      </c>
      <c r="K6" s="5" t="n">
        <v>50</v>
      </c>
      <c r="L6" s="5" t="n">
        <v>0</v>
      </c>
      <c r="M6" s="5" t="n">
        <v>0</v>
      </c>
      <c r="N6" s="5" t="n">
        <v>25</v>
      </c>
      <c r="O6" s="6" t="n">
        <v>300</v>
      </c>
      <c r="P6" s="6" t="n">
        <v>200</v>
      </c>
      <c r="Q6" s="6" t="n">
        <v>50</v>
      </c>
      <c r="R6" s="6" t="n">
        <v>0</v>
      </c>
      <c r="S6" s="6" t="n">
        <v>200</v>
      </c>
      <c r="T6" s="6" t="n">
        <v>800</v>
      </c>
      <c r="U6" s="7" t="inlineStr">
        <is>
          <t>On-time 100; food 50; misc 25; adv 300; fuel 200; SIM 50; traffic 200; rent 800</t>
        </is>
      </c>
    </row>
    <row r="7">
      <c r="A7" s="2" t="inlineStr">
        <is>
          <t>Saleh Al-Harbi</t>
        </is>
      </c>
      <c r="B7" s="2" t="inlineStr">
        <is>
          <t>freelancer</t>
        </is>
      </c>
      <c r="C7" s="2" t="inlineStr"/>
      <c r="D7" s="3" t="n">
        <v>26</v>
      </c>
      <c r="E7" s="3" t="n">
        <v>0</v>
      </c>
      <c r="F7" s="4" t="n">
        <v>1500</v>
      </c>
      <c r="G7" s="4" t="n">
        <v>0</v>
      </c>
      <c r="H7" s="4" t="n">
        <v>0</v>
      </c>
      <c r="I7" s="4" t="n">
        <v>0</v>
      </c>
      <c r="J7" s="5" t="n">
        <v>0</v>
      </c>
      <c r="K7" s="5" t="n">
        <v>0</v>
      </c>
      <c r="L7" s="5" t="n">
        <v>150</v>
      </c>
      <c r="M7" s="5" t="n">
        <v>0</v>
      </c>
      <c r="N7" s="5" t="n">
        <v>0</v>
      </c>
      <c r="O7" s="6" t="n">
        <v>0</v>
      </c>
      <c r="P7" s="6" t="n">
        <v>0</v>
      </c>
      <c r="Q7" s="6" t="n">
        <v>50</v>
      </c>
      <c r="R7" s="6" t="n">
        <v>0</v>
      </c>
      <c r="S7" s="6" t="n">
        <v>0</v>
      </c>
      <c r="T7" s="6" t="n">
        <v>0</v>
      </c>
      <c r="U7" s="7" t="inlineStr">
        <is>
          <t>Freelancer manual salary; miss-day 150; SIM 50</t>
        </is>
      </c>
    </row>
    <row r="8">
      <c r="A8" s="2" t="inlineStr">
        <is>
          <t>Omar Al-Shehri</t>
        </is>
      </c>
      <c r="B8" s="2" t="inlineStr">
        <is>
          <t>employee</t>
        </is>
      </c>
      <c r="C8" s="2" t="inlineStr">
        <is>
          <t>Hungerstation</t>
        </is>
      </c>
      <c r="D8" s="3" t="n">
        <v>30</v>
      </c>
      <c r="E8" s="3" t="n">
        <v>620</v>
      </c>
      <c r="F8" s="4" t="n"/>
      <c r="G8" s="4" t="n"/>
      <c r="H8" s="4" t="n">
        <v>250</v>
      </c>
      <c r="I8" s="4" t="n">
        <v>100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7" t="inlineStr">
        <is>
          <t>620 orders vs 450 target — large order bonus + 250 bonus</t>
        </is>
      </c>
    </row>
    <row r="9">
      <c r="A9" s="2" t="inlineStr">
        <is>
          <t>Yusuf Al-Mutairi</t>
        </is>
      </c>
      <c r="B9" s="2" t="inlineStr">
        <is>
          <t>employee</t>
        </is>
      </c>
      <c r="C9" s="2" t="inlineStr">
        <is>
          <t>Keeta</t>
        </is>
      </c>
      <c r="D9" s="3" t="n">
        <v>28</v>
      </c>
      <c r="E9" s="3" t="n">
        <v>430</v>
      </c>
      <c r="F9" s="4" t="n"/>
      <c r="G9" s="4" t="n"/>
      <c r="H9" s="4" t="n">
        <v>0</v>
      </c>
      <c r="I9" s="4" t="n">
        <v>50</v>
      </c>
      <c r="J9" s="5" t="n">
        <v>0</v>
      </c>
      <c r="K9" s="5" t="n">
        <v>200</v>
      </c>
      <c r="L9" s="5" t="n">
        <v>0</v>
      </c>
      <c r="M9" s="5" t="n">
        <v>150</v>
      </c>
      <c r="N9" s="5" t="n">
        <v>0</v>
      </c>
      <c r="O9" s="6" t="n">
        <v>0</v>
      </c>
      <c r="P9" s="6" t="n">
        <v>100</v>
      </c>
      <c r="Q9" s="6" t="n">
        <v>50</v>
      </c>
      <c r="R9" s="6" t="n">
        <v>200</v>
      </c>
      <c r="S9" s="6" t="n">
        <v>0</v>
      </c>
      <c r="T9" s="6" t="n">
        <v>0</v>
      </c>
      <c r="U9" s="7" t="inlineStr">
        <is>
          <t>Food damage 200; order rejection 150; fuel 100; loan 200</t>
        </is>
      </c>
    </row>
    <row r="10">
      <c r="A10" s="2" t="inlineStr">
        <is>
          <t>Hassan Al-Anzi</t>
        </is>
      </c>
      <c r="B10" s="2" t="inlineStr">
        <is>
          <t>freelancer</t>
        </is>
      </c>
      <c r="C10" s="2" t="inlineStr">
        <is>
          <t>Keeta</t>
        </is>
      </c>
      <c r="D10" s="3" t="n">
        <v>29</v>
      </c>
      <c r="E10" s="3" t="n">
        <v>490</v>
      </c>
      <c r="F10" s="4" t="n"/>
      <c r="G10" s="4" t="n"/>
      <c r="H10" s="4" t="n">
        <v>0</v>
      </c>
      <c r="I10" s="4" t="n">
        <v>0</v>
      </c>
      <c r="J10" s="5" t="n">
        <v>50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0</v>
      </c>
      <c r="P10" s="6" t="n">
        <v>300</v>
      </c>
      <c r="Q10" s="6" t="n">
        <v>100</v>
      </c>
      <c r="R10" s="6" t="n">
        <v>0</v>
      </c>
      <c r="S10" s="6" t="n">
        <v>0</v>
      </c>
      <c r="T10" s="6" t="n">
        <v>0</v>
      </c>
      <c r="U10" s="7" t="inlineStr">
        <is>
          <t>On-time 50; fuel 300; SIM 100</t>
        </is>
      </c>
    </row>
    <row r="11">
      <c r="A11" s="2" t="inlineStr">
        <is>
          <t>Ibrahim Al-Subaie</t>
        </is>
      </c>
      <c r="B11" s="2" t="inlineStr">
        <is>
          <t>employee</t>
        </is>
      </c>
      <c r="C11" s="2" t="inlineStr">
        <is>
          <t>Chefz</t>
        </is>
      </c>
      <c r="D11" s="3" t="n">
        <v>27</v>
      </c>
      <c r="E11" s="3" t="n">
        <v>440</v>
      </c>
      <c r="F11" s="4" t="n"/>
      <c r="G11" s="4" t="n"/>
      <c r="H11" s="4" t="n">
        <v>0</v>
      </c>
      <c r="I11" s="4" t="n">
        <v>50</v>
      </c>
      <c r="J11" s="5" t="n">
        <v>100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1200</v>
      </c>
      <c r="U11" s="7" t="inlineStr">
        <is>
          <t>On-time 100; rent 1200</t>
        </is>
      </c>
    </row>
    <row r="12">
      <c r="A12" s="2" t="inlineStr">
        <is>
          <t>Nasser Al-Qahtani</t>
        </is>
      </c>
      <c r="B12" s="2" t="inlineStr">
        <is>
          <t>employee</t>
        </is>
      </c>
      <c r="C12" s="2" t="inlineStr">
        <is>
          <t>Hungerstation</t>
        </is>
      </c>
      <c r="D12" s="3" t="n">
        <v>20</v>
      </c>
      <c r="E12" s="3" t="n">
        <v>290</v>
      </c>
      <c r="F12" s="4" t="n"/>
      <c r="G12" s="4" t="n"/>
      <c r="H12" s="4" t="n">
        <v>0</v>
      </c>
      <c r="I12" s="4" t="n">
        <v>50</v>
      </c>
      <c r="J12" s="5" t="n">
        <v>0</v>
      </c>
      <c r="K12" s="5" t="n">
        <v>0</v>
      </c>
      <c r="L12" s="5" t="n">
        <v>200</v>
      </c>
      <c r="M12" s="5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7" t="inlineStr">
        <is>
          <t>Only 20 days worked; miss-day 200; per-order rate applied</t>
        </is>
      </c>
    </row>
    <row r="13">
      <c r="A13" s="2" t="inlineStr">
        <is>
          <t>Faisal Al-Shammari</t>
        </is>
      </c>
      <c r="B13" s="2" t="inlineStr">
        <is>
          <t>employee</t>
        </is>
      </c>
      <c r="C13" s="2" t="inlineStr">
        <is>
          <t>Hungerstation</t>
        </is>
      </c>
      <c r="D13" s="3" t="n">
        <v>27</v>
      </c>
      <c r="E13" s="3" t="n">
        <v>450</v>
      </c>
      <c r="F13" s="4" t="n"/>
      <c r="G13" s="4" t="n"/>
      <c r="H13" s="4" t="n">
        <v>0</v>
      </c>
      <c r="I13" s="4" t="n">
        <v>50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100</v>
      </c>
      <c r="O13" s="6" t="n">
        <v>0</v>
      </c>
      <c r="P13" s="6" t="n">
        <v>0</v>
      </c>
      <c r="Q13" s="6" t="n">
        <v>50</v>
      </c>
      <c r="R13" s="6" t="n">
        <v>0</v>
      </c>
      <c r="S13" s="6" t="n">
        <v>300</v>
      </c>
      <c r="T13" s="6" t="n">
        <v>0</v>
      </c>
      <c r="U13" s="7" t="inlineStr">
        <is>
          <t>Misc deduction 100; SIM 50; traffic violation 300</t>
        </is>
      </c>
    </row>
    <row r="14">
      <c r="A14" s="2" t="inlineStr">
        <is>
          <t>New Rider Not In Odoo</t>
        </is>
      </c>
      <c r="B14" s="2" t="inlineStr">
        <is>
          <t>employee</t>
        </is>
      </c>
      <c r="C14" s="2" t="inlineStr">
        <is>
          <t>Keeta</t>
        </is>
      </c>
      <c r="D14" s="3" t="n">
        <v>27</v>
      </c>
      <c r="E14" s="3" t="n">
        <v>460</v>
      </c>
      <c r="F14" s="4" t="n"/>
      <c r="G14" s="4" t="n"/>
      <c r="H14" s="4" t="n">
        <v>0</v>
      </c>
      <c r="I14" s="4" t="n">
        <v>50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7" t="inlineStr">
        <is>
          <t>DEMO ERROR: Name not matched — line will be RED; manually link employee</t>
        </is>
      </c>
    </row>
    <row r="15">
      <c r="A15" s="2" t="inlineStr">
        <is>
          <t>Saad Al-Bishi</t>
        </is>
      </c>
      <c r="B15" s="2" t="inlineStr">
        <is>
          <t>freelancer</t>
        </is>
      </c>
      <c r="C15" s="2" t="inlineStr">
        <is>
          <t>Chefz</t>
        </is>
      </c>
      <c r="D15" s="3" t="n">
        <v>28</v>
      </c>
      <c r="E15" s="3" t="n">
        <v>510</v>
      </c>
      <c r="F15" s="4" t="n"/>
      <c r="G15" s="4" t="n"/>
      <c r="H15" s="4" t="n">
        <v>150</v>
      </c>
      <c r="I15" s="4" t="n">
        <v>0</v>
      </c>
      <c r="J15" s="5" t="n">
        <v>50</v>
      </c>
      <c r="K15" s="5" t="n">
        <v>0</v>
      </c>
      <c r="L15" s="5" t="n">
        <v>0</v>
      </c>
      <c r="M15" s="5" t="n">
        <v>0</v>
      </c>
      <c r="N15" s="5" t="n">
        <v>0</v>
      </c>
      <c r="O15" s="6" t="n">
        <v>0</v>
      </c>
      <c r="P15" s="6" t="n">
        <v>200</v>
      </c>
      <c r="Q15" s="6" t="n">
        <v>0</v>
      </c>
      <c r="R15" s="6" t="n">
        <v>0</v>
      </c>
      <c r="S15" s="6" t="n">
        <v>0</v>
      </c>
      <c r="T15" s="6" t="n">
        <v>0</v>
      </c>
      <c r="U15" s="7" t="inlineStr">
        <is>
          <t>Chefz freelancer — bonus 150; on-time 50; fuel 200</t>
        </is>
      </c>
    </row>
    <row r="16">
      <c r="A16" s="2" t="inlineStr">
        <is>
          <t>Waleed Al-Harthy</t>
        </is>
      </c>
      <c r="B16" s="2" t="inlineStr">
        <is>
          <t>employee</t>
        </is>
      </c>
      <c r="C16" s="2" t="inlineStr">
        <is>
          <t>Hungerstation</t>
        </is>
      </c>
      <c r="D16" s="3" t="n">
        <v>27</v>
      </c>
      <c r="E16" s="3" t="n">
        <v>395</v>
      </c>
      <c r="F16" s="4" t="n"/>
      <c r="G16" s="4" t="n"/>
      <c r="H16" s="4" t="n">
        <v>0</v>
      </c>
      <c r="I16" s="4" t="n">
        <v>50</v>
      </c>
      <c r="J16" s="5" t="n">
        <v>0</v>
      </c>
      <c r="K16" s="5" t="n">
        <v>0</v>
      </c>
      <c r="L16" s="5" t="n">
        <v>0</v>
      </c>
      <c r="M16" s="5" t="n">
        <v>250</v>
      </c>
      <c r="N16" s="5" t="n">
        <v>50</v>
      </c>
      <c r="O16" s="6" t="n">
        <v>750</v>
      </c>
      <c r="P16" s="6" t="n">
        <v>0</v>
      </c>
      <c r="Q16" s="6" t="n">
        <v>50</v>
      </c>
      <c r="R16" s="6" t="n">
        <v>0</v>
      </c>
      <c r="S16" s="6" t="n">
        <v>0</v>
      </c>
      <c r="T16" s="6" t="n">
        <v>0</v>
      </c>
      <c r="U16" s="7" t="inlineStr">
        <is>
          <t>Order rejection 250; misc 50; advance recovery 750; SIM 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10" customWidth="1" min="3" max="3"/>
    <col width="72" customWidth="1" min="4" max="4"/>
  </cols>
  <sheetData>
    <row r="1">
      <c r="A1" s="8" t="inlineStr">
        <is>
          <t>COLUMN GUIDE</t>
        </is>
      </c>
      <c r="B1" s="8" t="inlineStr"/>
      <c r="C1" s="8" t="inlineStr"/>
      <c r="D1" s="8" t="inlineStr"/>
    </row>
    <row r="2">
      <c r="A2" s="9" t="inlineStr">
        <is>
          <t>Column</t>
        </is>
      </c>
      <c r="B2" s="9" t="inlineStr">
        <is>
          <t>Field Name</t>
        </is>
      </c>
      <c r="C2" s="9" t="inlineStr">
        <is>
          <t>Required</t>
        </is>
      </c>
      <c r="D2" s="9" t="inlineStr">
        <is>
          <t>Notes</t>
        </is>
      </c>
    </row>
    <row r="3">
      <c r="A3" s="10" t="inlineStr">
        <is>
          <t>A</t>
        </is>
      </c>
      <c r="B3" s="11" t="inlineStr">
        <is>
          <t>Employee Name</t>
        </is>
      </c>
      <c r="C3" s="11" t="inlineStr">
        <is>
          <t>YES</t>
        </is>
      </c>
      <c r="D3" s="11" t="inlineStr">
        <is>
          <t>Must match hr.employee name (case-insensitive). Row turns RED if not found — link manually.</t>
        </is>
      </c>
    </row>
    <row r="4">
      <c r="A4" s="10" t="inlineStr">
        <is>
          <t>B</t>
        </is>
      </c>
      <c r="B4" s="11" t="inlineStr">
        <is>
          <t>Rider Type</t>
        </is>
      </c>
      <c r="C4" s="11" t="inlineStr">
        <is>
          <t>No</t>
        </is>
      </c>
      <c r="D4" s="11" t="inlineStr">
        <is>
          <t>'employee' or 'freelancer'. Defaults to employee if blank.</t>
        </is>
      </c>
    </row>
    <row r="5">
      <c r="A5" s="10" t="inlineStr">
        <is>
          <t>C</t>
        </is>
      </c>
      <c r="B5" s="11" t="inlineStr">
        <is>
          <t>Platform</t>
        </is>
      </c>
      <c r="C5" s="11" t="inlineStr">
        <is>
          <t>No</t>
        </is>
      </c>
      <c r="D5" s="11" t="inlineStr">
        <is>
          <t>Must match a Platform Configuration name. If set, Fixed Salary (F) and Order Adjustment (G) are auto-computed when F is blank.</t>
        </is>
      </c>
    </row>
    <row r="6">
      <c r="A6" s="10" t="inlineStr">
        <is>
          <t>D</t>
        </is>
      </c>
      <c r="B6" s="11" t="inlineStr">
        <is>
          <t>Valid Days</t>
        </is>
      </c>
      <c r="C6" s="11" t="inlineStr">
        <is>
          <t>No</t>
        </is>
      </c>
      <c r="D6" s="11" t="inlineStr">
        <is>
          <t>Working days in the month. Used in platform salary formula (threshold: min_days, default 27).</t>
        </is>
      </c>
    </row>
    <row r="7">
      <c r="A7" s="10" t="inlineStr">
        <is>
          <t>E</t>
        </is>
      </c>
      <c r="B7" s="11" t="inlineStr">
        <is>
          <t>Orders Completed</t>
        </is>
      </c>
      <c r="C7" s="11" t="inlineStr">
        <is>
          <t>No</t>
        </is>
      </c>
      <c r="D7" s="11" t="inlineStr">
        <is>
          <t>Total orders delivered. Used to compute order bonus/penalty vs. min_orders target.</t>
        </is>
      </c>
    </row>
    <row r="8">
      <c r="A8" s="10" t="inlineStr">
        <is>
          <t>F</t>
        </is>
      </c>
      <c r="B8" s="11" t="inlineStr">
        <is>
          <t>Fixed Salary</t>
        </is>
      </c>
      <c r="C8" s="11" t="inlineStr">
        <is>
          <t>No</t>
        </is>
      </c>
      <c r="D8" s="11" t="inlineStr">
        <is>
          <t>Leave blank when Platform is set → auto-computed. Fill manually to override.</t>
        </is>
      </c>
    </row>
    <row r="9">
      <c r="A9" s="10" t="inlineStr">
        <is>
          <t>G</t>
        </is>
      </c>
      <c r="B9" s="11" t="inlineStr">
        <is>
          <t>Order Adjustment</t>
        </is>
      </c>
      <c r="C9" s="11" t="inlineStr">
        <is>
          <t>No</t>
        </is>
      </c>
      <c r="D9" s="11" t="inlineStr">
        <is>
          <t>Positive = bonus orders, Negative = short-order penalty. Auto-computed from Platform if F is blank.</t>
        </is>
      </c>
    </row>
    <row r="10">
      <c r="A10" s="10" t="inlineStr">
        <is>
          <t>H</t>
        </is>
      </c>
      <c r="B10" s="11" t="inlineStr">
        <is>
          <t>Bonus</t>
        </is>
      </c>
      <c r="C10" s="11" t="inlineStr">
        <is>
          <t>No</t>
        </is>
      </c>
      <c r="D10" s="11" t="inlineStr">
        <is>
          <t>One-time bonus for this period.</t>
        </is>
      </c>
    </row>
    <row r="11">
      <c r="A11" s="10" t="inlineStr">
        <is>
          <t>I</t>
        </is>
      </c>
      <c r="B11" s="11" t="inlineStr">
        <is>
          <t>Petrol Allowance</t>
        </is>
      </c>
      <c r="C11" s="11" t="inlineStr">
        <is>
          <t>No</t>
        </is>
      </c>
      <c r="D11" s="11" t="inlineStr">
        <is>
          <t>Petrol/fuel allowance added to earnings.</t>
        </is>
      </c>
    </row>
    <row r="12">
      <c r="A12" s="10" t="inlineStr">
        <is>
          <t>J</t>
        </is>
      </c>
      <c r="B12" s="11" t="inlineStr">
        <is>
          <t>On-Time Deduction</t>
        </is>
      </c>
      <c r="C12" s="11" t="inlineStr">
        <is>
          <t>No</t>
        </is>
      </c>
      <c r="D12" s="11" t="inlineStr">
        <is>
          <t>Performance deduction for late deliveries.</t>
        </is>
      </c>
    </row>
    <row r="13">
      <c r="A13" s="10" t="inlineStr">
        <is>
          <t>K</t>
        </is>
      </c>
      <c r="B13" s="11" t="inlineStr">
        <is>
          <t>Food Damage Deduction</t>
        </is>
      </c>
      <c r="C13" s="11" t="inlineStr">
        <is>
          <t>No</t>
        </is>
      </c>
      <c r="D13" s="11" t="inlineStr">
        <is>
          <t>Deduction for damaged or spilled food orders.</t>
        </is>
      </c>
    </row>
    <row r="14">
      <c r="A14" s="10" t="inlineStr">
        <is>
          <t>L</t>
        </is>
      </c>
      <c r="B14" s="11" t="inlineStr">
        <is>
          <t>Miss Day Penalty</t>
        </is>
      </c>
      <c r="C14" s="11" t="inlineStr">
        <is>
          <t>No</t>
        </is>
      </c>
      <c r="D14" s="11" t="inlineStr">
        <is>
          <t>Penalty for absent working days.</t>
        </is>
      </c>
    </row>
    <row r="15">
      <c r="A15" s="10" t="inlineStr">
        <is>
          <t>M</t>
        </is>
      </c>
      <c r="B15" s="11" t="inlineStr">
        <is>
          <t>Order Rejection Ded.</t>
        </is>
      </c>
      <c r="C15" s="11" t="inlineStr">
        <is>
          <t>No</t>
        </is>
      </c>
      <c r="D15" s="11" t="inlineStr">
        <is>
          <t>Deduction for customer-rejected orders.</t>
        </is>
      </c>
    </row>
    <row r="16">
      <c r="A16" s="10" t="inlineStr">
        <is>
          <t>N</t>
        </is>
      </c>
      <c r="B16" s="11" t="inlineStr">
        <is>
          <t>Misc Deduction</t>
        </is>
      </c>
      <c r="C16" s="11" t="inlineStr">
        <is>
          <t>No</t>
        </is>
      </c>
      <c r="D16" s="11" t="inlineStr">
        <is>
          <t>Any other performance-related deduction.</t>
        </is>
      </c>
    </row>
    <row r="17">
      <c r="A17" s="10" t="inlineStr">
        <is>
          <t>O</t>
        </is>
      </c>
      <c r="B17" s="11" t="inlineStr">
        <is>
          <t>Advance Deduction</t>
        </is>
      </c>
      <c r="C17" s="11" t="inlineStr">
        <is>
          <t>No</t>
        </is>
      </c>
      <c r="D17" s="11" t="inlineStr">
        <is>
          <t>Recovery of previously issued advance (from Employee Advances &amp; Deductions ledger).</t>
        </is>
      </c>
    </row>
    <row r="18">
      <c r="A18" s="10" t="inlineStr">
        <is>
          <t>P</t>
        </is>
      </c>
      <c r="B18" s="11" t="inlineStr">
        <is>
          <t>Fuel Deduction</t>
        </is>
      </c>
      <c r="C18" s="11" t="inlineStr">
        <is>
          <t>No</t>
        </is>
      </c>
      <c r="D18" s="11" t="inlineStr">
        <is>
          <t>Recovery of fuel charges issued to employee.</t>
        </is>
      </c>
    </row>
    <row r="19">
      <c r="A19" s="10" t="inlineStr">
        <is>
          <t>Q</t>
        </is>
      </c>
      <c r="B19" s="11" t="inlineStr">
        <is>
          <t>SIM Charges</t>
        </is>
      </c>
      <c r="C19" s="11" t="inlineStr">
        <is>
          <t>No</t>
        </is>
      </c>
      <c r="D19" s="11" t="inlineStr">
        <is>
          <t>SIM card and mobile data charges.</t>
        </is>
      </c>
    </row>
    <row r="20">
      <c r="A20" s="10" t="inlineStr">
        <is>
          <t>R</t>
        </is>
      </c>
      <c r="B20" s="11" t="inlineStr">
        <is>
          <t>Loan</t>
        </is>
      </c>
      <c r="C20" s="11" t="inlineStr">
        <is>
          <t>No</t>
        </is>
      </c>
      <c r="D20" s="11" t="inlineStr">
        <is>
          <t>Monthly loan repayment deduction.</t>
        </is>
      </c>
    </row>
    <row r="21">
      <c r="A21" s="10" t="inlineStr">
        <is>
          <t>S</t>
        </is>
      </c>
      <c r="B21" s="11" t="inlineStr">
        <is>
          <t>Traffic Violation</t>
        </is>
      </c>
      <c r="C21" s="11" t="inlineStr">
        <is>
          <t>No</t>
        </is>
      </c>
      <c r="D21" s="11" t="inlineStr">
        <is>
          <t>Traffic fine deducted from salary.</t>
        </is>
      </c>
    </row>
    <row r="22">
      <c r="A22" s="10" t="inlineStr">
        <is>
          <t>T</t>
        </is>
      </c>
      <c r="B22" s="11" t="inlineStr">
        <is>
          <t>Rent</t>
        </is>
      </c>
      <c r="C22" s="11" t="inlineStr">
        <is>
          <t>No</t>
        </is>
      </c>
      <c r="D22" s="11" t="inlineStr">
        <is>
          <t>Accommodation rent deducted from salary.</t>
        </is>
      </c>
    </row>
    <row r="23">
      <c r="A23" s="10" t="inlineStr">
        <is>
          <t>U</t>
        </is>
      </c>
      <c r="B23" s="11" t="inlineStr">
        <is>
          <t>Note</t>
        </is>
      </c>
      <c r="C23" s="11" t="inlineStr">
        <is>
          <t>No</t>
        </is>
      </c>
      <c r="D23" s="11" t="inlineStr">
        <is>
          <t>Internal note shown on the salary line (not printed on payslip).</t>
        </is>
      </c>
    </row>
    <row r="24">
      <c r="A24" s="10" t="inlineStr"/>
      <c r="B24" s="11" t="inlineStr"/>
      <c r="C24" s="11" t="inlineStr"/>
      <c r="D24" s="11" t="inlineStr"/>
    </row>
    <row r="25">
      <c r="A25" s="8" t="inlineStr">
        <is>
          <t>SALARY FORMULA</t>
        </is>
      </c>
      <c r="B25" s="8" t="inlineStr"/>
      <c r="C25" s="8" t="inlineStr"/>
      <c r="D25" s="8" t="inlineStr"/>
    </row>
    <row r="26">
      <c r="A26" s="10" t="inlineStr">
        <is>
          <t>Gross Earnings</t>
        </is>
      </c>
      <c r="B26" s="11">
        <f> Fixed Salary + Order Adjustment + Bonus + Petrol Allowance</f>
        <v/>
      </c>
      <c r="C26" s="11" t="inlineStr"/>
      <c r="D26" s="11" t="inlineStr"/>
    </row>
    <row r="27">
      <c r="A27" s="10" t="inlineStr">
        <is>
          <t>Perf. Deductions</t>
        </is>
      </c>
      <c r="B27" s="11">
        <f> On-Time + Food Damage + Miss Day + Order Rejection + Misc</f>
        <v/>
      </c>
      <c r="C27" s="11" t="inlineStr"/>
      <c r="D27" s="11" t="inlineStr"/>
    </row>
    <row r="28">
      <c r="A28" s="10" t="inlineStr">
        <is>
          <t>Office Deductions</t>
        </is>
      </c>
      <c r="B28" s="11">
        <f> Advance + Fuel + SIM + Loan + Traffic + Rent</f>
        <v/>
      </c>
      <c r="C28" s="11" t="inlineStr"/>
      <c r="D28" s="11" t="inlineStr"/>
    </row>
    <row r="29">
      <c r="A29" s="10" t="inlineStr">
        <is>
          <t>Net Payable</t>
        </is>
      </c>
      <c r="B29" s="11">
        <f> Gross Earnings − Perf. Deductions − Office Deductions</f>
        <v/>
      </c>
      <c r="C29" s="11" t="inlineStr"/>
      <c r="D29" s="11" t="inlineStr"/>
    </row>
    <row r="30">
      <c r="A30" s="10" t="inlineStr"/>
      <c r="B30" s="11" t="inlineStr"/>
      <c r="C30" s="11" t="inlineStr"/>
      <c r="D30" s="11" t="inlineStr"/>
    </row>
    <row r="31">
      <c r="A31" s="8" t="inlineStr">
        <is>
          <t>COLOUR CODING (Salary Import sheet)</t>
        </is>
      </c>
      <c r="B31" s="8" t="inlineStr"/>
      <c r="C31" s="8" t="inlineStr"/>
      <c r="D31" s="8" t="inlineStr"/>
    </row>
    <row r="32">
      <c r="A32" s="10" t="inlineStr">
        <is>
          <t>Blue</t>
        </is>
      </c>
      <c r="B32" s="11" t="inlineStr">
        <is>
          <t>Columns A–E: Employee identification</t>
        </is>
      </c>
      <c r="C32" s="11" t="inlineStr"/>
      <c r="D32" s="11" t="inlineStr"/>
    </row>
    <row r="33">
      <c r="A33" s="10" t="inlineStr">
        <is>
          <t>Green</t>
        </is>
      </c>
      <c r="B33" s="11" t="inlineStr">
        <is>
          <t>Columns F–I: Earnings</t>
        </is>
      </c>
      <c r="C33" s="11" t="inlineStr"/>
      <c r="D33" s="11" t="inlineStr"/>
    </row>
    <row r="34">
      <c r="A34" s="10" t="inlineStr">
        <is>
          <t>Yellow</t>
        </is>
      </c>
      <c r="B34" s="11" t="inlineStr">
        <is>
          <t>Columns J–N: Performance deductions</t>
        </is>
      </c>
      <c r="C34" s="11" t="inlineStr"/>
      <c r="D34" s="11" t="inlineStr"/>
    </row>
    <row r="35">
      <c r="A35" s="10" t="inlineStr">
        <is>
          <t>Red/Pink</t>
        </is>
      </c>
      <c r="B35" s="11" t="inlineStr">
        <is>
          <t>Columns O–T: Office / ledger deductions</t>
        </is>
      </c>
      <c r="C35" s="11" t="inlineStr"/>
      <c r="D35" s="11" t="inlineStr"/>
    </row>
    <row r="36">
      <c r="A36" s="10" t="inlineStr">
        <is>
          <t>Grey</t>
        </is>
      </c>
      <c r="B36" s="11" t="inlineStr">
        <is>
          <t>Column U: Note</t>
        </is>
      </c>
      <c r="C36" s="11" t="inlineStr"/>
      <c r="D36" s="11" t="inlineStr"/>
    </row>
    <row r="37">
      <c r="A37" s="10" t="inlineStr"/>
      <c r="B37" s="11" t="inlineStr"/>
      <c r="C37" s="11" t="inlineStr"/>
      <c r="D37" s="11" t="inlineStr"/>
    </row>
    <row r="38">
      <c r="A38" s="8" t="inlineStr">
        <is>
          <t>PLATFORM AUTO-COMPUTE RULES</t>
        </is>
      </c>
      <c r="B38" s="8" t="inlineStr"/>
      <c r="C38" s="8" t="inlineStr"/>
      <c r="D38" s="8" t="inlineStr"/>
    </row>
    <row r="39">
      <c r="A39" s="10" t="inlineStr">
        <is>
          <t>IF valid_days &gt;= min_days:</t>
        </is>
      </c>
      <c r="B39" s="11" t="inlineStr">
        <is>
          <t xml:space="preserve">  basic_salary = fixed_salary</t>
        </is>
      </c>
      <c r="C39" s="11" t="inlineStr"/>
      <c r="D39" s="11" t="inlineStr"/>
    </row>
    <row r="40">
      <c r="A40" s="10" t="inlineStr"/>
      <c r="B40" s="11" t="inlineStr">
        <is>
          <t xml:space="preserve">  order_adj = (orders - min_orders) × excess_rate  [bonus]</t>
        </is>
      </c>
      <c r="C40" s="11" t="inlineStr"/>
      <c r="D40" s="11" t="inlineStr"/>
    </row>
    <row r="41">
      <c r="A41" s="10" t="inlineStr"/>
      <c r="B41" s="11" t="inlineStr">
        <is>
          <t xml:space="preserve">           or (min_orders - orders) × short_rate   [penalty]</t>
        </is>
      </c>
      <c r="C41" s="11" t="inlineStr"/>
      <c r="D41" s="11" t="inlineStr"/>
    </row>
    <row r="42">
      <c r="A42" s="10" t="inlineStr">
        <is>
          <t>IF valid_days &lt; min_days:</t>
        </is>
      </c>
      <c r="B42" s="11" t="inlineStr">
        <is>
          <t xml:space="preserve">  basic_salary = orders_completed × per_order_rate</t>
        </is>
      </c>
      <c r="C42" s="11" t="inlineStr"/>
      <c r="D42" s="11" t="inlineStr"/>
    </row>
    <row r="43">
      <c r="A43" s="10" t="inlineStr"/>
      <c r="B43" s="11" t="inlineStr">
        <is>
          <t xml:space="preserve">  order_adj = 0</t>
        </is>
      </c>
      <c r="C43" s="11" t="inlineStr"/>
      <c r="D43" s="11" t="inlineStr"/>
    </row>
    <row r="44">
      <c r="A44" s="10" t="inlineStr"/>
      <c r="B44" s="11" t="inlineStr"/>
      <c r="C44" s="11" t="inlineStr"/>
      <c r="D44" s="11" t="inlineStr"/>
    </row>
    <row r="45">
      <c r="A45" s="8" t="inlineStr">
        <is>
          <t>DEMO DATA NOTES</t>
        </is>
      </c>
      <c r="B45" s="8" t="inlineStr"/>
      <c r="C45" s="8" t="inlineStr"/>
      <c r="D45" s="8" t="inlineStr"/>
    </row>
    <row r="46">
      <c r="A46" s="10" t="inlineStr">
        <is>
          <t>Row 14 (New Rider Not In Odoo)</t>
        </is>
      </c>
      <c r="B46" s="11" t="inlineStr">
        <is>
          <t>Name intentionally not in Odoo — demonstrates red error row.</t>
        </is>
      </c>
      <c r="C46" s="11" t="inlineStr"/>
      <c r="D46" s="11" t="inlineStr"/>
    </row>
    <row r="47">
      <c r="A47" s="10" t="inlineStr">
        <is>
          <t>All other names</t>
        </is>
      </c>
      <c r="B47" s="11" t="inlineStr">
        <is>
          <t>Replace with actual hr.employee names in your Odoo database.</t>
        </is>
      </c>
      <c r="C47" s="11" t="inlineStr"/>
      <c r="D47" s="11" t="inlineStr"/>
    </row>
    <row r="48">
      <c r="A48" s="10" t="inlineStr">
        <is>
          <t>Platform names (C column)</t>
        </is>
      </c>
      <c r="B48" s="11" t="inlineStr">
        <is>
          <t>Replace with your actual Platform Configuration names.</t>
        </is>
      </c>
      <c r="C48" s="11" t="inlineStr"/>
      <c r="D4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8" customWidth="1" min="4" max="4"/>
    <col width="12" customWidth="1" min="5" max="5"/>
    <col width="17" customWidth="1" min="6" max="6"/>
    <col width="17" customWidth="1" min="7" max="7"/>
    <col width="30" customWidth="1" min="8" max="8"/>
  </cols>
  <sheetData>
    <row r="1">
      <c r="A1" s="12" t="inlineStr">
        <is>
          <t>PLATFORM CONFIGURATION REFERENCE (sample — create matching records in Odoo)</t>
        </is>
      </c>
    </row>
    <row r="2">
      <c r="A2" s="1" t="inlineStr">
        <is>
          <t>Platform Name</t>
        </is>
      </c>
      <c r="B2" s="1" t="inlineStr">
        <is>
          <t>Min Days</t>
        </is>
      </c>
      <c r="C2" s="1" t="inlineStr">
        <is>
          <t>Fixed Salary (SAR)</t>
        </is>
      </c>
      <c r="D2" s="1" t="inlineStr">
        <is>
          <t>Per-Order Rate (SAR)</t>
        </is>
      </c>
      <c r="E2" s="1" t="inlineStr">
        <is>
          <t>Min Orders</t>
        </is>
      </c>
      <c r="F2" s="1" t="inlineStr">
        <is>
          <t>Short Order Rate</t>
        </is>
      </c>
      <c r="G2" s="1" t="inlineStr">
        <is>
          <t>Excess Order Rate</t>
        </is>
      </c>
      <c r="H2" s="1" t="inlineStr">
        <is>
          <t>Notes</t>
        </is>
      </c>
    </row>
    <row r="3">
      <c r="A3" s="11" t="inlineStr">
        <is>
          <t>Hungerstation</t>
        </is>
      </c>
      <c r="B3" s="13" t="n">
        <v>27</v>
      </c>
      <c r="C3" s="13" t="n">
        <v>1800</v>
      </c>
      <c r="D3" s="13" t="n">
        <v>4</v>
      </c>
      <c r="E3" s="13" t="n">
        <v>450</v>
      </c>
      <c r="F3" s="13" t="n">
        <v>1</v>
      </c>
      <c r="G3" s="13" t="n">
        <v>1.5</v>
      </c>
      <c r="H3" s="11" t="inlineStr">
        <is>
          <t>Most common platform in KSA</t>
        </is>
      </c>
    </row>
    <row r="4">
      <c r="A4" s="11" t="inlineStr">
        <is>
          <t>Keeta</t>
        </is>
      </c>
      <c r="B4" s="13" t="n">
        <v>27</v>
      </c>
      <c r="C4" s="13" t="n">
        <v>1700</v>
      </c>
      <c r="D4" s="13" t="n">
        <v>3.8</v>
      </c>
      <c r="E4" s="13" t="n">
        <v>450</v>
      </c>
      <c r="F4" s="13" t="n">
        <v>0.8</v>
      </c>
      <c r="G4" s="13" t="n">
        <v>1.2</v>
      </c>
      <c r="H4" s="11" t="inlineStr"/>
    </row>
    <row r="5">
      <c r="A5" s="11" t="inlineStr">
        <is>
          <t>Chefz</t>
        </is>
      </c>
      <c r="B5" s="13" t="n">
        <v>27</v>
      </c>
      <c r="C5" s="13" t="n">
        <v>1600</v>
      </c>
      <c r="D5" s="13" t="n">
        <v>3.5</v>
      </c>
      <c r="E5" s="13" t="n">
        <v>400</v>
      </c>
      <c r="F5" s="13" t="n">
        <v>1</v>
      </c>
      <c r="G5" s="13" t="n">
        <v>1</v>
      </c>
      <c r="H5" s="11" t="inlineStr">
        <is>
          <t>Lower target 400 orders</t>
        </is>
      </c>
    </row>
    <row r="7">
      <c r="A7" s="14" t="inlineStr">
        <is>
          <t>⚠  Create these platforms in: Way4Tech Logistics → Configuration → Platform Configurations</t>
        </is>
      </c>
    </row>
    <row r="8">
      <c r="A8" s="14" t="inlineStr">
        <is>
          <t>⚠  The 'Platform' column (C) in the Salary Import sheet must match these names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2026-03-20T20:03:49+00:00Z</dcterms:created>
  <dcterms:modified xmlns:dcterms="http://purl.org/dc/terms/" xmlns:xsi="http://www.w3.org/2001/XMLSchema-instance" xsi:type="dcterms:W3CDTF">2026-03-20T20:03:49+00:00Z</dcterms:modified>
</cp:coreProperties>
</file>