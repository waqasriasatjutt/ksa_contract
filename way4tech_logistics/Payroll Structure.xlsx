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alzaintowers\Desktop\"/>
    </mc:Choice>
  </mc:AlternateContent>
  <xr:revisionPtr revIDLastSave="0" documentId="13_ncr:1_{D098433F-5B17-4275-BDB7-D4CDAFC49BA8}" xr6:coauthVersionLast="47" xr6:coauthVersionMax="47" xr10:uidLastSave="{00000000-0000-0000-0000-000000000000}"/>
  <bookViews>
    <workbookView xWindow="-108" yWindow="-108" windowWidth="23256" windowHeight="12456" firstSheet="1" activeTab="5" xr2:uid="{8CD6D76A-6AFD-4A92-B57D-354DCC392F80}"/>
  </bookViews>
  <sheets>
    <sheet name="EMPLOYEE sub ledger" sheetId="1" r:id="rId1"/>
    <sheet name="main ledger" sheetId="2" r:id="rId2"/>
    <sheet name="Dashboard" sheetId="3" r:id="rId3"/>
    <sheet name="Logitics Driver Salary" sheetId="4" r:id="rId4"/>
    <sheet name="office employee salary" sheetId="5" r:id="rId5"/>
    <sheet name="Riders sala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6" l="1"/>
  <c r="I38" i="6"/>
  <c r="L38" i="6" s="1"/>
  <c r="K37" i="6"/>
  <c r="I37" i="6"/>
  <c r="L37" i="6" s="1"/>
  <c r="L36" i="6"/>
  <c r="I36" i="6"/>
  <c r="L35" i="6"/>
  <c r="I35" i="6"/>
  <c r="I34" i="6"/>
  <c r="L34" i="6" s="1"/>
  <c r="J26" i="6"/>
  <c r="K25" i="6"/>
  <c r="I26" i="6"/>
  <c r="I25" i="6"/>
  <c r="L25" i="6"/>
  <c r="I24" i="6"/>
  <c r="L24" i="6" s="1"/>
  <c r="I23" i="6"/>
  <c r="L23" i="6" s="1"/>
  <c r="I22" i="6"/>
  <c r="L22" i="6" s="1"/>
  <c r="AC9" i="6"/>
  <c r="AC10" i="6"/>
  <c r="AC11" i="6"/>
  <c r="AC8" i="6"/>
  <c r="S9" i="6"/>
  <c r="S10" i="6"/>
  <c r="S11" i="6"/>
  <c r="S8" i="6"/>
  <c r="J12" i="6"/>
  <c r="L12" i="6" s="1"/>
  <c r="K11" i="6"/>
  <c r="L11" i="6" s="1"/>
  <c r="I10" i="6"/>
  <c r="L10" i="6" s="1"/>
  <c r="U10" i="6" s="1"/>
  <c r="AE10" i="6" s="1"/>
  <c r="I9" i="6"/>
  <c r="L9" i="6" s="1"/>
  <c r="U9" i="6" s="1"/>
  <c r="AE9" i="6" s="1"/>
  <c r="I8" i="6"/>
  <c r="L8" i="6" s="1"/>
  <c r="P2" i="5"/>
  <c r="I2" i="5"/>
  <c r="L2" i="5"/>
  <c r="M2" i="4"/>
  <c r="J2" i="4"/>
  <c r="N2" i="4" s="1"/>
  <c r="Q2" i="4" s="1"/>
  <c r="H2" i="3"/>
  <c r="L26" i="6" l="1"/>
  <c r="U8" i="6"/>
  <c r="AE8" i="6" s="1"/>
  <c r="U11" i="6"/>
  <c r="AE11" i="6" s="1"/>
  <c r="M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3" authorId="0" shapeId="0" xr:uid="{03CD7E14-269D-403D-B15D-694AB32B116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01 jan 2026:  200
20 jan 2026:  150
03 mar 2026:  50
05 may 2026:  100</t>
        </r>
      </text>
    </comment>
  </commentList>
</comments>
</file>

<file path=xl/sharedStrings.xml><?xml version="1.0" encoding="utf-8"?>
<sst xmlns="http://schemas.openxmlformats.org/spreadsheetml/2006/main" count="217" uniqueCount="108">
  <si>
    <t>Employee id</t>
  </si>
  <si>
    <t>Employee Name</t>
  </si>
  <si>
    <t>Phone Number</t>
  </si>
  <si>
    <t>Role</t>
  </si>
  <si>
    <t>Food Delivery Rider</t>
  </si>
  <si>
    <t>Logistic Driver</t>
  </si>
  <si>
    <t>Office employee</t>
  </si>
  <si>
    <t>Status (Active/inactive)</t>
  </si>
  <si>
    <t>Asif</t>
  </si>
  <si>
    <t>Usman</t>
  </si>
  <si>
    <t>Iqama Number</t>
  </si>
  <si>
    <t>AC123</t>
  </si>
  <si>
    <t>Anum</t>
  </si>
  <si>
    <t>Active</t>
  </si>
  <si>
    <t>inactive</t>
  </si>
  <si>
    <t>Date</t>
  </si>
  <si>
    <t>Type</t>
  </si>
  <si>
    <t>Advance</t>
  </si>
  <si>
    <t>Sim Cahrges</t>
  </si>
  <si>
    <t>Loan</t>
  </si>
  <si>
    <t>Traffic Violation</t>
  </si>
  <si>
    <t>Debit</t>
  </si>
  <si>
    <t>Credit</t>
  </si>
  <si>
    <t>Balance</t>
  </si>
  <si>
    <t>Salary</t>
  </si>
  <si>
    <t>passport number</t>
  </si>
  <si>
    <t>Fleet type</t>
  </si>
  <si>
    <t>car</t>
  </si>
  <si>
    <t>trailor</t>
  </si>
  <si>
    <t>pickup</t>
  </si>
  <si>
    <t>Plate Number</t>
  </si>
  <si>
    <t>Description</t>
  </si>
  <si>
    <t>rent</t>
  </si>
  <si>
    <t>Employee summery</t>
  </si>
  <si>
    <t>junaid</t>
  </si>
  <si>
    <t>freelancer</t>
  </si>
  <si>
    <t>Total debit</t>
  </si>
  <si>
    <t>Total credit</t>
  </si>
  <si>
    <t>Joining date</t>
  </si>
  <si>
    <t>Month</t>
  </si>
  <si>
    <t>Number of hours</t>
  </si>
  <si>
    <t>rate</t>
  </si>
  <si>
    <t>total salary</t>
  </si>
  <si>
    <t>Running Balance</t>
  </si>
  <si>
    <t>over time</t>
  </si>
  <si>
    <t>over timerate</t>
  </si>
  <si>
    <t>Basic  salary</t>
  </si>
  <si>
    <t>other allowance</t>
  </si>
  <si>
    <t>net total saalry</t>
  </si>
  <si>
    <t>fuel</t>
  </si>
  <si>
    <t xml:space="preserve">number of days </t>
  </si>
  <si>
    <t>-</t>
  </si>
  <si>
    <t>rate/hour/day</t>
  </si>
  <si>
    <t>Food/accomodation</t>
  </si>
  <si>
    <t>over time rate</t>
  </si>
  <si>
    <t>Rider/supervisor</t>
  </si>
  <si>
    <t>Driver/forman</t>
  </si>
  <si>
    <t>admin/coordiantor</t>
  </si>
  <si>
    <t>Hungerstation</t>
  </si>
  <si>
    <t>Project name</t>
  </si>
  <si>
    <t>Saraco Co.</t>
  </si>
  <si>
    <t>Target /M</t>
  </si>
  <si>
    <t>Basic salary</t>
  </si>
  <si>
    <t>Condition -1</t>
  </si>
  <si>
    <t>Condition -2</t>
  </si>
  <si>
    <t>All Rider Must Complete  27 days per month</t>
  </si>
  <si>
    <t xml:space="preserve">per day should be work minimum 10 hours </t>
  </si>
  <si>
    <t>valid days/M</t>
  </si>
  <si>
    <t>waqas-02</t>
  </si>
  <si>
    <t>Asif-01</t>
  </si>
  <si>
    <t>Ahsan -03</t>
  </si>
  <si>
    <t>Ijaz-04</t>
  </si>
  <si>
    <t>if More then 450 then paid extra 8 per order</t>
  </si>
  <si>
    <t>if less then 450 then deduction 16.50 perorder</t>
  </si>
  <si>
    <t>Anser-04</t>
  </si>
  <si>
    <t>on time deduction</t>
  </si>
  <si>
    <t>food Damage deduction</t>
  </si>
  <si>
    <t>Miss day penality</t>
  </si>
  <si>
    <t>order rejection Deduction</t>
  </si>
  <si>
    <t>Net salary</t>
  </si>
  <si>
    <t>same treat freelance and Own Rider</t>
  </si>
  <si>
    <t>Condition -3</t>
  </si>
  <si>
    <t>Total salary</t>
  </si>
  <si>
    <t>Total deduction</t>
  </si>
  <si>
    <t>Deduction from office</t>
  </si>
  <si>
    <t xml:space="preserve">Total Deduction </t>
  </si>
  <si>
    <t>Keeta</t>
  </si>
  <si>
    <t>Own</t>
  </si>
  <si>
    <t>All Rider Must Complete  26 days per month</t>
  </si>
  <si>
    <t>Condition -4</t>
  </si>
  <si>
    <t>Minimum order 450 / month -if less then 16.50 per order deduction and if more then 8 per order extra</t>
  </si>
  <si>
    <t>Minimum order 450 / month -if less then 13 per order deduction and if more then 11 per order extra</t>
  </si>
  <si>
    <t>27 days or more</t>
  </si>
  <si>
    <t>25 Days</t>
  </si>
  <si>
    <t>22 Days</t>
  </si>
  <si>
    <t>26 Days or more</t>
  </si>
  <si>
    <t>if less then 450 then deduction 13 perorder</t>
  </si>
  <si>
    <t>if More then 450 then paid extra 11 per order</t>
  </si>
  <si>
    <t>Freelance</t>
  </si>
  <si>
    <t>Own Employees Total Salary</t>
  </si>
  <si>
    <t>Freelancers Total Salary</t>
  </si>
  <si>
    <t>Own/Freelancers Total Salary</t>
  </si>
  <si>
    <t>The Chefz</t>
  </si>
  <si>
    <t>Designation</t>
  </si>
  <si>
    <t>Fleet Sequence #</t>
  </si>
  <si>
    <t>Photo/iqama</t>
  </si>
  <si>
    <t>if daily 5 h</t>
  </si>
  <si>
    <t>Then SAR1100/Month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</si>
</sst>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4" fontId="0" fillId="0" borderId="0" xfId="0" applyNumberFormat="1"/>
    <xf numFmtId="15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17" fontId="0" fillId="0" borderId="0" xfId="0" applyNumberFormat="1"/>
    <xf numFmtId="0" fontId="1" fillId="0" borderId="0" xfId="0" applyFont="1" applyAlignment="1">
      <alignment horizontal="center" vertical="center"/>
    </xf>
    <xf numFmtId="1" fontId="1" fillId="2" borderId="0" xfId="0" applyNumberFormat="1" applyFont="1" applyFill="1"/>
    <xf numFmtId="0" fontId="0" fillId="3" borderId="1" xfId="0" applyFill="1" applyBorder="1"/>
    <xf numFmtId="0" fontId="1" fillId="0" borderId="0" xfId="0" applyFont="1" applyAlignment="1">
      <alignment horizontal="center"/>
    </xf>
    <xf numFmtId="0" fontId="0" fillId="0" borderId="0" xfId="0" applyFill="1"/>
    <xf numFmtId="1" fontId="1" fillId="0" borderId="0" xfId="0" applyNumberFormat="1" applyFont="1" applyFill="1"/>
    <xf numFmtId="0" fontId="1" fillId="0" borderId="0" xfId="0" applyFont="1" applyFill="1"/>
    <xf numFmtId="1" fontId="0" fillId="0" borderId="0" xfId="0" applyNumberFormat="1" applyFill="1"/>
    <xf numFmtId="0" fontId="0" fillId="0" borderId="0" xfId="0" applyAlignment="1"/>
    <xf numFmtId="0" fontId="0" fillId="4" borderId="0" xfId="0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0" fillId="2" borderId="0" xfId="0" applyFill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0" borderId="5" xfId="0" applyFill="1" applyBorder="1"/>
    <xf numFmtId="0" fontId="0" fillId="0" borderId="0" xfId="0" applyFill="1" applyBorder="1"/>
    <xf numFmtId="0" fontId="0" fillId="0" borderId="6" xfId="0" applyFill="1" applyBorder="1"/>
    <xf numFmtId="17" fontId="0" fillId="0" borderId="5" xfId="0" applyNumberFormat="1" applyFill="1" applyBorder="1"/>
    <xf numFmtId="0" fontId="1" fillId="0" borderId="0" xfId="0" applyFont="1" applyFill="1" applyBorder="1" applyAlignment="1">
      <alignment horizontal="center" vertical="center"/>
    </xf>
    <xf numFmtId="1" fontId="1" fillId="0" borderId="0" xfId="0" applyNumberFormat="1" applyFont="1" applyFill="1" applyBorder="1"/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4" borderId="5" xfId="0" applyFill="1" applyBorder="1"/>
    <xf numFmtId="0" fontId="0" fillId="4" borderId="0" xfId="0" applyFill="1" applyBorder="1"/>
    <xf numFmtId="0" fontId="1" fillId="4" borderId="6" xfId="0" applyFont="1" applyFill="1" applyBorder="1"/>
    <xf numFmtId="17" fontId="0" fillId="0" borderId="5" xfId="0" applyNumberFormat="1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17" fontId="0" fillId="0" borderId="7" xfId="0" applyNumberFormat="1" applyBorder="1"/>
    <xf numFmtId="0" fontId="1" fillId="4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A437-3902-4836-BC88-7B2216FD8323}">
  <dimension ref="B1:N5"/>
  <sheetViews>
    <sheetView workbookViewId="0">
      <selection activeCell="G1" sqref="G1"/>
    </sheetView>
  </sheetViews>
  <sheetFormatPr defaultRowHeight="14.4" x14ac:dyDescent="0.3"/>
  <cols>
    <col min="2" max="2" width="10.5546875" bestFit="1" customWidth="1"/>
    <col min="3" max="3" width="14.109375" bestFit="1" customWidth="1"/>
    <col min="4" max="5" width="14.109375" customWidth="1"/>
    <col min="6" max="6" width="13.109375" bestFit="1" customWidth="1"/>
    <col min="7" max="7" width="6.44140625" customWidth="1"/>
    <col min="8" max="13" width="16.33203125" customWidth="1"/>
    <col min="14" max="14" width="19.44140625" bestFit="1" customWidth="1"/>
  </cols>
  <sheetData>
    <row r="1" spans="2:14" ht="28.8" customHeight="1" x14ac:dyDescent="0.3">
      <c r="B1" s="9" t="s">
        <v>0</v>
      </c>
      <c r="C1" s="9" t="s">
        <v>1</v>
      </c>
      <c r="D1" s="9" t="s">
        <v>10</v>
      </c>
      <c r="E1" s="9" t="s">
        <v>25</v>
      </c>
      <c r="F1" s="9" t="s">
        <v>2</v>
      </c>
      <c r="G1" s="9" t="s">
        <v>3</v>
      </c>
      <c r="H1" s="9" t="s">
        <v>103</v>
      </c>
      <c r="I1" s="9" t="s">
        <v>105</v>
      </c>
      <c r="J1" s="9" t="s">
        <v>38</v>
      </c>
      <c r="K1" s="9" t="s">
        <v>26</v>
      </c>
      <c r="L1" s="9" t="s">
        <v>30</v>
      </c>
      <c r="M1" s="9" t="s">
        <v>104</v>
      </c>
      <c r="N1" s="9" t="s">
        <v>7</v>
      </c>
    </row>
    <row r="2" spans="2:14" x14ac:dyDescent="0.3">
      <c r="B2">
        <v>1</v>
      </c>
      <c r="C2" t="s">
        <v>8</v>
      </c>
      <c r="D2">
        <v>1234567890</v>
      </c>
      <c r="E2" t="s">
        <v>11</v>
      </c>
      <c r="F2">
        <v>58123456</v>
      </c>
      <c r="G2" t="s">
        <v>4</v>
      </c>
      <c r="H2" t="s">
        <v>55</v>
      </c>
      <c r="J2" s="2">
        <v>46024</v>
      </c>
      <c r="K2" t="s">
        <v>27</v>
      </c>
      <c r="L2">
        <v>1234</v>
      </c>
      <c r="M2">
        <v>123456</v>
      </c>
      <c r="N2" t="s">
        <v>13</v>
      </c>
    </row>
    <row r="3" spans="2:14" x14ac:dyDescent="0.3">
      <c r="B3">
        <v>2</v>
      </c>
      <c r="C3" t="s">
        <v>9</v>
      </c>
      <c r="D3">
        <v>1234567890</v>
      </c>
      <c r="E3" t="s">
        <v>11</v>
      </c>
      <c r="F3">
        <v>55123456</v>
      </c>
      <c r="G3" t="s">
        <v>5</v>
      </c>
      <c r="H3" t="s">
        <v>56</v>
      </c>
      <c r="J3" s="2">
        <v>46024</v>
      </c>
      <c r="K3" t="s">
        <v>28</v>
      </c>
      <c r="L3">
        <v>1234</v>
      </c>
      <c r="M3">
        <v>123456</v>
      </c>
      <c r="N3" t="s">
        <v>14</v>
      </c>
    </row>
    <row r="4" spans="2:14" x14ac:dyDescent="0.3">
      <c r="B4">
        <v>3</v>
      </c>
      <c r="C4" t="s">
        <v>12</v>
      </c>
      <c r="D4">
        <v>1234567890</v>
      </c>
      <c r="E4" t="s">
        <v>11</v>
      </c>
      <c r="F4">
        <v>55123456</v>
      </c>
      <c r="G4" t="s">
        <v>6</v>
      </c>
      <c r="H4" t="s">
        <v>57</v>
      </c>
      <c r="J4" s="2">
        <v>46025</v>
      </c>
      <c r="K4" t="s">
        <v>29</v>
      </c>
      <c r="L4">
        <v>1234</v>
      </c>
      <c r="M4">
        <v>123456</v>
      </c>
      <c r="N4" t="s">
        <v>13</v>
      </c>
    </row>
    <row r="5" spans="2:14" x14ac:dyDescent="0.3">
      <c r="B5">
        <v>4</v>
      </c>
      <c r="C5" t="s">
        <v>34</v>
      </c>
      <c r="D5">
        <v>1234567890</v>
      </c>
      <c r="E5" t="s">
        <v>11</v>
      </c>
      <c r="F5">
        <v>55123456</v>
      </c>
      <c r="G5" t="s">
        <v>35</v>
      </c>
      <c r="J5" s="2">
        <v>46026</v>
      </c>
      <c r="K5" t="s">
        <v>27</v>
      </c>
      <c r="L5">
        <v>1234</v>
      </c>
      <c r="M5">
        <v>123456</v>
      </c>
      <c r="N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FF1C-9C6B-4A91-AC4B-7F2741564E30}">
  <dimension ref="A1:I9"/>
  <sheetViews>
    <sheetView workbookViewId="0">
      <selection activeCell="E3" sqref="E3"/>
    </sheetView>
  </sheetViews>
  <sheetFormatPr defaultRowHeight="14.4" x14ac:dyDescent="0.3"/>
  <cols>
    <col min="4" max="4" width="12.88671875" bestFit="1" customWidth="1"/>
    <col min="5" max="5" width="13.5546875" bestFit="1" customWidth="1"/>
    <col min="6" max="6" width="13.5546875" customWidth="1"/>
  </cols>
  <sheetData>
    <row r="1" spans="1:9" x14ac:dyDescent="0.3">
      <c r="D1" s="10" t="s">
        <v>33</v>
      </c>
      <c r="E1" s="10"/>
      <c r="F1" s="10"/>
    </row>
    <row r="2" spans="1:9" ht="31.8" customHeight="1" x14ac:dyDescent="0.3">
      <c r="A2" s="9" t="s">
        <v>15</v>
      </c>
      <c r="B2" s="9" t="s">
        <v>0</v>
      </c>
      <c r="C2" s="9" t="s">
        <v>1</v>
      </c>
      <c r="D2" s="9" t="s">
        <v>10</v>
      </c>
      <c r="E2" s="9" t="s">
        <v>16</v>
      </c>
      <c r="F2" s="9" t="s">
        <v>31</v>
      </c>
      <c r="G2" s="9" t="s">
        <v>21</v>
      </c>
      <c r="H2" s="9" t="s">
        <v>22</v>
      </c>
      <c r="I2" s="9" t="s">
        <v>43</v>
      </c>
    </row>
    <row r="3" spans="1:9" x14ac:dyDescent="0.3">
      <c r="A3" s="1">
        <v>46023</v>
      </c>
      <c r="B3">
        <v>1</v>
      </c>
      <c r="C3" t="s">
        <v>8</v>
      </c>
      <c r="D3">
        <v>1234567890</v>
      </c>
      <c r="E3" t="s">
        <v>17</v>
      </c>
      <c r="G3">
        <v>500</v>
      </c>
      <c r="I3">
        <v>500</v>
      </c>
    </row>
    <row r="4" spans="1:9" x14ac:dyDescent="0.3">
      <c r="A4" s="1">
        <v>46024</v>
      </c>
      <c r="B4">
        <v>1</v>
      </c>
      <c r="C4" t="s">
        <v>8</v>
      </c>
      <c r="D4">
        <v>1234567890</v>
      </c>
      <c r="E4" t="s">
        <v>49</v>
      </c>
      <c r="G4">
        <v>100</v>
      </c>
      <c r="I4">
        <v>600</v>
      </c>
    </row>
    <row r="5" spans="1:9" x14ac:dyDescent="0.3">
      <c r="A5" s="1">
        <v>46025</v>
      </c>
      <c r="B5">
        <v>1</v>
      </c>
      <c r="C5" t="s">
        <v>8</v>
      </c>
      <c r="D5">
        <v>1234567890</v>
      </c>
      <c r="E5" t="s">
        <v>18</v>
      </c>
      <c r="G5">
        <v>46</v>
      </c>
      <c r="I5">
        <v>646</v>
      </c>
    </row>
    <row r="6" spans="1:9" x14ac:dyDescent="0.3">
      <c r="A6" s="1">
        <v>46026</v>
      </c>
      <c r="B6">
        <v>1</v>
      </c>
      <c r="C6" t="s">
        <v>8</v>
      </c>
      <c r="D6">
        <v>1234567890</v>
      </c>
      <c r="E6" t="s">
        <v>19</v>
      </c>
      <c r="G6">
        <v>2000</v>
      </c>
      <c r="I6">
        <v>2646</v>
      </c>
    </row>
    <row r="7" spans="1:9" x14ac:dyDescent="0.3">
      <c r="A7" s="1">
        <v>46027</v>
      </c>
      <c r="B7">
        <v>1</v>
      </c>
      <c r="C7" t="s">
        <v>8</v>
      </c>
      <c r="D7">
        <v>1234567890</v>
      </c>
      <c r="E7" t="s">
        <v>20</v>
      </c>
      <c r="G7">
        <v>113</v>
      </c>
      <c r="I7">
        <v>2759</v>
      </c>
    </row>
    <row r="8" spans="1:9" x14ac:dyDescent="0.3">
      <c r="A8" s="1">
        <v>46028</v>
      </c>
      <c r="B8">
        <v>1</v>
      </c>
      <c r="C8" t="s">
        <v>8</v>
      </c>
      <c r="D8">
        <v>1234567890</v>
      </c>
      <c r="E8" t="s">
        <v>24</v>
      </c>
      <c r="H8">
        <v>4500</v>
      </c>
      <c r="I8">
        <v>-1741</v>
      </c>
    </row>
    <row r="9" spans="1:9" x14ac:dyDescent="0.3">
      <c r="A9" s="1">
        <v>46028</v>
      </c>
      <c r="B9">
        <v>1</v>
      </c>
      <c r="C9" t="s">
        <v>8</v>
      </c>
      <c r="D9">
        <v>1234567890</v>
      </c>
      <c r="E9" t="s">
        <v>32</v>
      </c>
      <c r="G9">
        <v>100</v>
      </c>
      <c r="I9">
        <v>-1641</v>
      </c>
    </row>
  </sheetData>
  <mergeCells count="1">
    <mergeCell ref="D1:F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3E06-B395-4960-A783-F1C617DAA63D}">
  <dimension ref="B1:H5"/>
  <sheetViews>
    <sheetView workbookViewId="0">
      <selection activeCell="C6" sqref="C6"/>
    </sheetView>
  </sheetViews>
  <sheetFormatPr defaultRowHeight="14.4" x14ac:dyDescent="0.3"/>
  <cols>
    <col min="4" max="4" width="12.88671875" bestFit="1" customWidth="1"/>
    <col min="5" max="5" width="16.33203125" bestFit="1" customWidth="1"/>
  </cols>
  <sheetData>
    <row r="1" spans="2:8" ht="32.4" customHeight="1" x14ac:dyDescent="0.3">
      <c r="B1" s="9" t="s">
        <v>0</v>
      </c>
      <c r="C1" s="9" t="s">
        <v>1</v>
      </c>
      <c r="D1" s="9" t="s">
        <v>10</v>
      </c>
      <c r="E1" s="9" t="s">
        <v>3</v>
      </c>
      <c r="F1" s="9" t="s">
        <v>36</v>
      </c>
      <c r="G1" s="9" t="s">
        <v>37</v>
      </c>
      <c r="H1" s="9" t="s">
        <v>23</v>
      </c>
    </row>
    <row r="2" spans="2:8" x14ac:dyDescent="0.3">
      <c r="B2">
        <v>1</v>
      </c>
      <c r="C2" t="s">
        <v>8</v>
      </c>
      <c r="D2">
        <v>1234567890</v>
      </c>
      <c r="E2" t="s">
        <v>4</v>
      </c>
      <c r="F2">
        <v>2859</v>
      </c>
      <c r="G2">
        <v>4500</v>
      </c>
      <c r="H2">
        <f>F2-G2</f>
        <v>-1641</v>
      </c>
    </row>
    <row r="3" spans="2:8" x14ac:dyDescent="0.3">
      <c r="B3">
        <v>2</v>
      </c>
      <c r="C3" t="s">
        <v>9</v>
      </c>
      <c r="D3">
        <v>1234567890</v>
      </c>
      <c r="E3" t="s">
        <v>5</v>
      </c>
      <c r="F3">
        <v>10000</v>
      </c>
      <c r="G3">
        <v>2000</v>
      </c>
      <c r="H3">
        <v>8000</v>
      </c>
    </row>
    <row r="4" spans="2:8" x14ac:dyDescent="0.3">
      <c r="B4">
        <v>3</v>
      </c>
      <c r="C4" t="s">
        <v>12</v>
      </c>
      <c r="D4">
        <v>1234567890</v>
      </c>
      <c r="E4" t="s">
        <v>6</v>
      </c>
    </row>
    <row r="5" spans="2:8" x14ac:dyDescent="0.3">
      <c r="B5">
        <v>4</v>
      </c>
      <c r="C5" t="s">
        <v>34</v>
      </c>
      <c r="D5">
        <v>1234567890</v>
      </c>
      <c r="E5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09CA-50D6-4CEE-BDEE-A3E92AA2ED75}">
  <dimension ref="C1:Q3"/>
  <sheetViews>
    <sheetView workbookViewId="0">
      <selection activeCell="F7" sqref="F7"/>
    </sheetView>
  </sheetViews>
  <sheetFormatPr defaultRowHeight="14.4" x14ac:dyDescent="0.3"/>
  <cols>
    <col min="3" max="3" width="6.33203125" bestFit="1" customWidth="1"/>
    <col min="4" max="4" width="14.109375" bestFit="1" customWidth="1"/>
    <col min="5" max="5" width="12.88671875" bestFit="1" customWidth="1"/>
    <col min="6" max="6" width="12.88671875" customWidth="1"/>
    <col min="7" max="7" width="14.44140625" bestFit="1" customWidth="1"/>
    <col min="8" max="8" width="13.5546875" bestFit="1" customWidth="1"/>
    <col min="9" max="9" width="6" bestFit="1" customWidth="1"/>
    <col min="10" max="10" width="10.88671875" bestFit="1" customWidth="1"/>
    <col min="11" max="11" width="8.33203125" bestFit="1" customWidth="1"/>
    <col min="12" max="12" width="11.88671875" bestFit="1" customWidth="1"/>
    <col min="13" max="13" width="8.33203125" bestFit="1" customWidth="1"/>
    <col min="14" max="14" width="9.6640625" bestFit="1" customWidth="1"/>
    <col min="15" max="15" width="17.44140625" bestFit="1" customWidth="1"/>
    <col min="16" max="16" width="13.88671875" bestFit="1" customWidth="1"/>
    <col min="17" max="17" width="12.5546875" bestFit="1" customWidth="1"/>
  </cols>
  <sheetData>
    <row r="1" spans="3:17" ht="34.200000000000003" customHeight="1" x14ac:dyDescent="0.3">
      <c r="C1" s="9" t="s">
        <v>39</v>
      </c>
      <c r="D1" s="9" t="s">
        <v>1</v>
      </c>
      <c r="E1" s="9" t="s">
        <v>10</v>
      </c>
      <c r="F1" s="9" t="s">
        <v>59</v>
      </c>
      <c r="G1" s="9" t="s">
        <v>40</v>
      </c>
      <c r="H1" s="9" t="s">
        <v>50</v>
      </c>
      <c r="I1" s="9" t="s">
        <v>41</v>
      </c>
      <c r="J1" s="9" t="s">
        <v>46</v>
      </c>
      <c r="K1" s="9" t="s">
        <v>44</v>
      </c>
      <c r="L1" s="9" t="s">
        <v>54</v>
      </c>
      <c r="M1" s="9" t="s">
        <v>44</v>
      </c>
      <c r="N1" s="9" t="s">
        <v>42</v>
      </c>
      <c r="O1" s="9" t="s">
        <v>53</v>
      </c>
      <c r="P1" s="9" t="s">
        <v>47</v>
      </c>
      <c r="Q1" s="9" t="s">
        <v>48</v>
      </c>
    </row>
    <row r="2" spans="3:17" x14ac:dyDescent="0.3">
      <c r="C2" s="6">
        <v>46023</v>
      </c>
      <c r="D2" t="s">
        <v>9</v>
      </c>
      <c r="E2">
        <v>1234567890</v>
      </c>
      <c r="F2" t="s">
        <v>60</v>
      </c>
      <c r="G2">
        <v>260</v>
      </c>
      <c r="H2" s="7" t="s">
        <v>51</v>
      </c>
      <c r="I2">
        <v>5.7690000000000001</v>
      </c>
      <c r="J2" s="4">
        <f>G2*I2</f>
        <v>1499.94</v>
      </c>
      <c r="K2">
        <v>30</v>
      </c>
      <c r="L2">
        <v>10</v>
      </c>
      <c r="M2" s="5">
        <f>K2*L2</f>
        <v>300</v>
      </c>
      <c r="N2" s="8">
        <f>J2+M2</f>
        <v>1799.94</v>
      </c>
      <c r="O2" s="3">
        <v>100</v>
      </c>
      <c r="P2">
        <v>250</v>
      </c>
      <c r="Q2" s="8">
        <f>N2+O2+P2</f>
        <v>2149.94</v>
      </c>
    </row>
    <row r="3" spans="3:17" x14ac:dyDescent="0.3">
      <c r="K3" t="s">
        <v>106</v>
      </c>
      <c r="L3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9DEA-FE95-4AB4-B849-394C703FB5D9}">
  <dimension ref="C1:P2"/>
  <sheetViews>
    <sheetView workbookViewId="0">
      <selection activeCell="I7" sqref="I7"/>
    </sheetView>
  </sheetViews>
  <sheetFormatPr defaultRowHeight="14.4" x14ac:dyDescent="0.3"/>
  <cols>
    <col min="5" max="5" width="12.88671875" bestFit="1" customWidth="1"/>
    <col min="6" max="6" width="14.44140625" bestFit="1" customWidth="1"/>
    <col min="7" max="7" width="14.44140625" customWidth="1"/>
    <col min="8" max="8" width="12" bestFit="1" customWidth="1"/>
    <col min="15" max="15" width="13.88671875" bestFit="1" customWidth="1"/>
    <col min="16" max="16" width="12.5546875" bestFit="1" customWidth="1"/>
  </cols>
  <sheetData>
    <row r="1" spans="3:16" x14ac:dyDescent="0.3">
      <c r="C1" t="s">
        <v>39</v>
      </c>
      <c r="D1" t="s">
        <v>1</v>
      </c>
      <c r="E1" t="s">
        <v>10</v>
      </c>
      <c r="F1" t="s">
        <v>40</v>
      </c>
      <c r="G1" t="s">
        <v>50</v>
      </c>
      <c r="H1" t="s">
        <v>52</v>
      </c>
      <c r="I1" t="s">
        <v>46</v>
      </c>
      <c r="J1" t="s">
        <v>44</v>
      </c>
      <c r="K1" t="s">
        <v>45</v>
      </c>
      <c r="L1" t="s">
        <v>44</v>
      </c>
      <c r="M1" t="s">
        <v>42</v>
      </c>
      <c r="N1" t="s">
        <v>53</v>
      </c>
      <c r="O1" t="s">
        <v>47</v>
      </c>
      <c r="P1" t="s">
        <v>48</v>
      </c>
    </row>
    <row r="2" spans="3:16" x14ac:dyDescent="0.3">
      <c r="C2" s="6">
        <v>46023</v>
      </c>
      <c r="D2" t="s">
        <v>12</v>
      </c>
      <c r="E2">
        <v>1234567890</v>
      </c>
      <c r="F2" s="7" t="s">
        <v>51</v>
      </c>
      <c r="G2" s="7">
        <v>26</v>
      </c>
      <c r="H2">
        <v>96.15</v>
      </c>
      <c r="I2" s="4">
        <f>G2*H2</f>
        <v>2499.9</v>
      </c>
      <c r="J2">
        <v>5</v>
      </c>
      <c r="K2">
        <v>10</v>
      </c>
      <c r="L2" s="5">
        <f>J2*K2</f>
        <v>50</v>
      </c>
      <c r="M2" s="8">
        <f>I2+L2</f>
        <v>2549.9</v>
      </c>
      <c r="N2" s="3">
        <v>300</v>
      </c>
      <c r="O2">
        <v>250</v>
      </c>
      <c r="P2" s="8">
        <f>M2+N2+O2</f>
        <v>3099.9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FC039-500B-462C-A7BC-A4058716CAE8}">
  <dimension ref="C1:AE40"/>
  <sheetViews>
    <sheetView tabSelected="1" workbookViewId="0">
      <selection activeCell="C1" sqref="C1:L1"/>
    </sheetView>
  </sheetViews>
  <sheetFormatPr defaultRowHeight="14.4" x14ac:dyDescent="0.3"/>
  <cols>
    <col min="5" max="5" width="12.88671875" bestFit="1" customWidth="1"/>
    <col min="6" max="6" width="13.88671875" bestFit="1" customWidth="1"/>
    <col min="8" max="8" width="13.5546875" bestFit="1" customWidth="1"/>
    <col min="9" max="9" width="12" bestFit="1" customWidth="1"/>
    <col min="10" max="11" width="30.5546875" bestFit="1" customWidth="1"/>
    <col min="12" max="12" width="10.44140625" bestFit="1" customWidth="1"/>
    <col min="19" max="19" width="14" bestFit="1" customWidth="1"/>
    <col min="25" max="25" width="11" bestFit="1" customWidth="1"/>
    <col min="27" max="27" width="13.5546875" bestFit="1" customWidth="1"/>
    <col min="29" max="29" width="13.88671875" bestFit="1" customWidth="1"/>
  </cols>
  <sheetData>
    <row r="1" spans="3:31" x14ac:dyDescent="0.3">
      <c r="C1" s="20" t="s">
        <v>58</v>
      </c>
      <c r="D1" s="21"/>
      <c r="E1" s="21"/>
      <c r="F1" s="21"/>
      <c r="G1" s="21"/>
      <c r="H1" s="21"/>
      <c r="I1" s="21"/>
      <c r="J1" s="21"/>
      <c r="K1" s="21"/>
      <c r="L1" s="22"/>
      <c r="M1" s="15"/>
      <c r="N1" s="15"/>
      <c r="O1" s="15"/>
      <c r="P1" s="15"/>
      <c r="Q1" s="15"/>
    </row>
    <row r="2" spans="3:31" x14ac:dyDescent="0.3">
      <c r="C2" s="23"/>
      <c r="D2" s="24"/>
      <c r="E2" s="24"/>
      <c r="F2" s="24" t="s">
        <v>63</v>
      </c>
      <c r="G2" s="24" t="s">
        <v>80</v>
      </c>
      <c r="H2" s="24"/>
      <c r="I2" s="24"/>
      <c r="J2" s="24"/>
      <c r="K2" s="24"/>
      <c r="L2" s="25"/>
      <c r="M2" s="11"/>
      <c r="N2" s="11"/>
      <c r="O2" s="11"/>
      <c r="P2" s="11"/>
      <c r="Q2" s="11"/>
    </row>
    <row r="3" spans="3:31" x14ac:dyDescent="0.3">
      <c r="C3" s="26"/>
      <c r="D3" s="24"/>
      <c r="E3" s="24"/>
      <c r="F3" s="24" t="s">
        <v>64</v>
      </c>
      <c r="G3" s="24" t="s">
        <v>65</v>
      </c>
      <c r="H3" s="27"/>
      <c r="I3" s="24"/>
      <c r="J3" s="28"/>
      <c r="K3" s="24"/>
      <c r="L3" s="25"/>
      <c r="M3" s="13"/>
      <c r="N3" s="12"/>
      <c r="O3" s="14"/>
      <c r="P3" s="11"/>
      <c r="Q3" s="12"/>
    </row>
    <row r="4" spans="3:31" x14ac:dyDescent="0.3">
      <c r="C4" s="26"/>
      <c r="D4" s="24"/>
      <c r="E4" s="24"/>
      <c r="F4" s="24" t="s">
        <v>81</v>
      </c>
      <c r="G4" s="24" t="s">
        <v>66</v>
      </c>
      <c r="H4" s="27"/>
      <c r="I4" s="24"/>
      <c r="J4" s="28"/>
      <c r="K4" s="24"/>
      <c r="L4" s="25"/>
      <c r="M4" s="13"/>
      <c r="N4" s="12"/>
      <c r="O4" s="14"/>
      <c r="P4" s="11"/>
      <c r="Q4" s="12"/>
    </row>
    <row r="5" spans="3:31" s="11" customFormat="1" x14ac:dyDescent="0.3">
      <c r="C5" s="26"/>
      <c r="D5" s="24"/>
      <c r="E5" s="24"/>
      <c r="F5" s="24" t="s">
        <v>89</v>
      </c>
      <c r="G5" s="24" t="s">
        <v>90</v>
      </c>
      <c r="H5" s="27"/>
      <c r="I5" s="24"/>
      <c r="J5" s="28"/>
      <c r="K5" s="24"/>
      <c r="L5" s="25"/>
      <c r="M5" s="13"/>
      <c r="N5" s="12"/>
      <c r="O5" s="14"/>
      <c r="Q5" s="12"/>
    </row>
    <row r="6" spans="3:31" x14ac:dyDescent="0.3">
      <c r="C6" s="29" t="s">
        <v>101</v>
      </c>
      <c r="D6" s="30"/>
      <c r="E6" s="30"/>
      <c r="F6" s="30"/>
      <c r="G6" s="30"/>
      <c r="H6" s="30"/>
      <c r="I6" s="30"/>
      <c r="J6" s="30"/>
      <c r="K6" s="30"/>
      <c r="L6" s="31"/>
      <c r="N6" s="18" t="s">
        <v>83</v>
      </c>
      <c r="O6" s="18"/>
      <c r="P6" s="18"/>
      <c r="Q6" s="18"/>
      <c r="R6" s="18"/>
      <c r="S6" s="18"/>
      <c r="U6" s="17" t="s">
        <v>79</v>
      </c>
      <c r="W6" s="16" t="s">
        <v>84</v>
      </c>
      <c r="X6" s="16"/>
      <c r="Y6" s="16"/>
      <c r="Z6" s="16"/>
      <c r="AA6" s="16"/>
      <c r="AB6" s="16"/>
      <c r="AC6" s="16"/>
      <c r="AE6" s="17" t="s">
        <v>79</v>
      </c>
    </row>
    <row r="7" spans="3:31" x14ac:dyDescent="0.3">
      <c r="C7" s="32" t="s">
        <v>39</v>
      </c>
      <c r="D7" s="33" t="s">
        <v>1</v>
      </c>
      <c r="E7" s="33" t="s">
        <v>10</v>
      </c>
      <c r="F7" s="33" t="s">
        <v>67</v>
      </c>
      <c r="G7" s="33" t="s">
        <v>61</v>
      </c>
      <c r="H7" s="33" t="s">
        <v>62</v>
      </c>
      <c r="I7" s="33" t="s">
        <v>62</v>
      </c>
      <c r="J7" s="33" t="s">
        <v>73</v>
      </c>
      <c r="K7" s="33" t="s">
        <v>72</v>
      </c>
      <c r="L7" s="34" t="s">
        <v>82</v>
      </c>
      <c r="N7" t="s">
        <v>75</v>
      </c>
      <c r="O7" t="s">
        <v>76</v>
      </c>
      <c r="P7" t="s">
        <v>77</v>
      </c>
      <c r="Q7" t="s">
        <v>78</v>
      </c>
      <c r="S7" s="17" t="s">
        <v>83</v>
      </c>
      <c r="U7" s="17"/>
      <c r="W7" t="s">
        <v>17</v>
      </c>
      <c r="X7" t="s">
        <v>49</v>
      </c>
      <c r="Y7" t="s">
        <v>18</v>
      </c>
      <c r="Z7" t="s">
        <v>19</v>
      </c>
      <c r="AA7" t="s">
        <v>20</v>
      </c>
      <c r="AB7" t="s">
        <v>32</v>
      </c>
      <c r="AC7" s="17" t="s">
        <v>85</v>
      </c>
      <c r="AE7" s="17"/>
    </row>
    <row r="8" spans="3:31" x14ac:dyDescent="0.3">
      <c r="C8" s="35">
        <v>46023</v>
      </c>
      <c r="D8" s="36" t="s">
        <v>69</v>
      </c>
      <c r="E8" s="36">
        <v>1234567890</v>
      </c>
      <c r="F8" s="36" t="s">
        <v>92</v>
      </c>
      <c r="G8" s="36">
        <v>450</v>
      </c>
      <c r="H8" s="36">
        <v>6700</v>
      </c>
      <c r="I8" s="36">
        <f>H8</f>
        <v>6700</v>
      </c>
      <c r="J8" s="36"/>
      <c r="K8" s="36"/>
      <c r="L8" s="34">
        <f>I8</f>
        <v>6700</v>
      </c>
      <c r="N8">
        <v>0</v>
      </c>
      <c r="R8">
        <v>2</v>
      </c>
      <c r="S8" s="17">
        <f>N8+O8+P8+Q8+R8</f>
        <v>2</v>
      </c>
      <c r="U8" s="17">
        <f>L8-S8</f>
        <v>6698</v>
      </c>
      <c r="W8">
        <v>500</v>
      </c>
      <c r="X8">
        <v>600</v>
      </c>
      <c r="Y8">
        <v>46</v>
      </c>
      <c r="Z8">
        <v>1000</v>
      </c>
      <c r="AA8">
        <v>500</v>
      </c>
      <c r="AC8" s="17">
        <f>W8+X8+Y8+Z8+AA8+AB8</f>
        <v>2646</v>
      </c>
      <c r="AE8" s="17">
        <f>U8-AC8</f>
        <v>4052</v>
      </c>
    </row>
    <row r="9" spans="3:31" x14ac:dyDescent="0.3">
      <c r="C9" s="35">
        <v>46023</v>
      </c>
      <c r="D9" s="36" t="s">
        <v>68</v>
      </c>
      <c r="E9" s="36">
        <v>1234567890</v>
      </c>
      <c r="F9" s="36" t="s">
        <v>93</v>
      </c>
      <c r="G9" s="36">
        <v>470</v>
      </c>
      <c r="H9" s="36">
        <v>7</v>
      </c>
      <c r="I9" s="36">
        <f>G9*H9</f>
        <v>3290</v>
      </c>
      <c r="J9" s="36"/>
      <c r="K9" s="36"/>
      <c r="L9" s="34">
        <f>I9</f>
        <v>3290</v>
      </c>
      <c r="N9">
        <v>0</v>
      </c>
      <c r="O9">
        <v>45</v>
      </c>
      <c r="P9">
        <v>500</v>
      </c>
      <c r="Q9">
        <v>87</v>
      </c>
      <c r="R9">
        <v>0</v>
      </c>
      <c r="S9" s="17">
        <f t="shared" ref="S9:S11" si="0">N9+O9+P9+Q9+R9</f>
        <v>632</v>
      </c>
      <c r="U9" s="17">
        <f t="shared" ref="U9:U11" si="1">L9-S9</f>
        <v>2658</v>
      </c>
      <c r="W9">
        <v>0</v>
      </c>
      <c r="X9">
        <v>500</v>
      </c>
      <c r="Z9">
        <v>48</v>
      </c>
      <c r="AB9">
        <v>300</v>
      </c>
      <c r="AC9" s="17">
        <f t="shared" ref="AC9:AC11" si="2">W9+X9+Y9+Z9+AA9+AB9</f>
        <v>848</v>
      </c>
      <c r="AE9" s="17">
        <f t="shared" ref="AE9:AE11" si="3">U9-AC9</f>
        <v>1810</v>
      </c>
    </row>
    <row r="10" spans="3:31" x14ac:dyDescent="0.3">
      <c r="C10" s="35">
        <v>46023</v>
      </c>
      <c r="D10" s="36" t="s">
        <v>70</v>
      </c>
      <c r="E10" s="36">
        <v>1234567890</v>
      </c>
      <c r="F10" s="36" t="s">
        <v>94</v>
      </c>
      <c r="G10" s="36">
        <v>420</v>
      </c>
      <c r="H10" s="36">
        <v>7</v>
      </c>
      <c r="I10" s="36">
        <f>G10*H10</f>
        <v>2940</v>
      </c>
      <c r="J10" s="36"/>
      <c r="K10" s="36"/>
      <c r="L10" s="34">
        <f>I10</f>
        <v>2940</v>
      </c>
      <c r="N10">
        <v>0</v>
      </c>
      <c r="O10">
        <v>0</v>
      </c>
      <c r="R10">
        <v>0</v>
      </c>
      <c r="S10" s="17">
        <f t="shared" si="0"/>
        <v>0</v>
      </c>
      <c r="U10" s="17">
        <f t="shared" si="1"/>
        <v>2940</v>
      </c>
      <c r="X10">
        <v>0</v>
      </c>
      <c r="Y10">
        <v>45</v>
      </c>
      <c r="AC10" s="17">
        <f t="shared" si="2"/>
        <v>45</v>
      </c>
      <c r="AE10" s="17">
        <f t="shared" si="3"/>
        <v>2895</v>
      </c>
    </row>
    <row r="11" spans="3:31" x14ac:dyDescent="0.3">
      <c r="C11" s="35">
        <v>46023</v>
      </c>
      <c r="D11" s="36" t="s">
        <v>71</v>
      </c>
      <c r="E11" s="36">
        <v>1234567890</v>
      </c>
      <c r="F11" s="36" t="s">
        <v>92</v>
      </c>
      <c r="G11" s="36">
        <v>460</v>
      </c>
      <c r="H11" s="36">
        <v>6700</v>
      </c>
      <c r="I11" s="36">
        <v>6700</v>
      </c>
      <c r="J11" s="36"/>
      <c r="K11" s="36">
        <f>10*8</f>
        <v>80</v>
      </c>
      <c r="L11" s="34">
        <f>I11+K11</f>
        <v>6780</v>
      </c>
      <c r="N11">
        <v>50</v>
      </c>
      <c r="S11" s="17">
        <f t="shared" si="0"/>
        <v>50</v>
      </c>
      <c r="U11" s="17">
        <f t="shared" si="1"/>
        <v>6730</v>
      </c>
      <c r="W11">
        <v>0</v>
      </c>
      <c r="X11">
        <v>87</v>
      </c>
      <c r="AA11">
        <v>45</v>
      </c>
      <c r="AB11">
        <v>200</v>
      </c>
      <c r="AC11" s="17">
        <f t="shared" si="2"/>
        <v>332</v>
      </c>
      <c r="AE11" s="17">
        <f t="shared" si="3"/>
        <v>6398</v>
      </c>
    </row>
    <row r="12" spans="3:31" x14ac:dyDescent="0.3">
      <c r="C12" s="35">
        <v>46023</v>
      </c>
      <c r="D12" s="36" t="s">
        <v>74</v>
      </c>
      <c r="E12" s="36">
        <v>1234567890</v>
      </c>
      <c r="F12" s="36" t="s">
        <v>92</v>
      </c>
      <c r="G12" s="36">
        <v>410</v>
      </c>
      <c r="H12" s="36">
        <v>6700</v>
      </c>
      <c r="I12" s="36">
        <v>6700</v>
      </c>
      <c r="J12" s="36">
        <f>40*16.5</f>
        <v>660</v>
      </c>
      <c r="K12" s="36"/>
      <c r="L12" s="34">
        <f>I12-J12</f>
        <v>6040</v>
      </c>
    </row>
    <row r="13" spans="3:31" ht="15" thickBot="1" x14ac:dyDescent="0.35">
      <c r="C13" s="37"/>
      <c r="D13" s="38"/>
      <c r="E13" s="38"/>
      <c r="F13" s="38"/>
      <c r="G13" s="38"/>
      <c r="H13" s="38"/>
      <c r="I13" s="38"/>
      <c r="J13" s="38"/>
      <c r="K13" s="38"/>
      <c r="L13" s="39"/>
    </row>
    <row r="14" spans="3:31" s="19" customFormat="1" ht="15" thickBot="1" x14ac:dyDescent="0.35"/>
    <row r="15" spans="3:31" x14ac:dyDescent="0.3">
      <c r="C15" s="20" t="s">
        <v>86</v>
      </c>
      <c r="D15" s="21"/>
      <c r="E15" s="21"/>
      <c r="F15" s="21"/>
      <c r="G15" s="21"/>
      <c r="H15" s="21"/>
      <c r="I15" s="21"/>
      <c r="J15" s="21"/>
      <c r="K15" s="21"/>
      <c r="L15" s="22"/>
    </row>
    <row r="16" spans="3:31" x14ac:dyDescent="0.3">
      <c r="C16" s="40"/>
      <c r="D16" s="36"/>
      <c r="E16" s="36"/>
      <c r="F16" s="24" t="s">
        <v>63</v>
      </c>
      <c r="G16" s="24" t="s">
        <v>87</v>
      </c>
      <c r="H16" s="36"/>
      <c r="I16" s="36"/>
      <c r="J16" s="36"/>
      <c r="K16" s="36"/>
      <c r="L16" s="41"/>
    </row>
    <row r="17" spans="3:12" x14ac:dyDescent="0.3">
      <c r="C17" s="40"/>
      <c r="D17" s="36"/>
      <c r="E17" s="36"/>
      <c r="F17" s="24" t="s">
        <v>64</v>
      </c>
      <c r="G17" s="24" t="s">
        <v>88</v>
      </c>
      <c r="H17" s="36"/>
      <c r="I17" s="36"/>
      <c r="J17" s="36"/>
      <c r="K17" s="36"/>
      <c r="L17" s="41"/>
    </row>
    <row r="18" spans="3:12" x14ac:dyDescent="0.3">
      <c r="C18" s="40"/>
      <c r="D18" s="36"/>
      <c r="E18" s="36"/>
      <c r="F18" s="24" t="s">
        <v>81</v>
      </c>
      <c r="G18" s="24" t="s">
        <v>66</v>
      </c>
      <c r="H18" s="36"/>
      <c r="I18" s="36"/>
      <c r="J18" s="36"/>
      <c r="K18" s="36"/>
      <c r="L18" s="41"/>
    </row>
    <row r="19" spans="3:12" s="11" customFormat="1" x14ac:dyDescent="0.3">
      <c r="C19" s="23"/>
      <c r="D19" s="24"/>
      <c r="E19" s="24"/>
      <c r="F19" s="24" t="s">
        <v>89</v>
      </c>
      <c r="G19" s="24" t="s">
        <v>91</v>
      </c>
      <c r="H19" s="24"/>
      <c r="I19" s="24"/>
      <c r="J19" s="24"/>
      <c r="K19" s="24"/>
      <c r="L19" s="25"/>
    </row>
    <row r="20" spans="3:12" x14ac:dyDescent="0.3">
      <c r="C20" s="29" t="s">
        <v>99</v>
      </c>
      <c r="D20" s="30"/>
      <c r="E20" s="30"/>
      <c r="F20" s="30"/>
      <c r="G20" s="30"/>
      <c r="H20" s="30"/>
      <c r="I20" s="30"/>
      <c r="J20" s="30"/>
      <c r="K20" s="30"/>
      <c r="L20" s="31"/>
    </row>
    <row r="21" spans="3:12" x14ac:dyDescent="0.3">
      <c r="C21" s="32" t="s">
        <v>39</v>
      </c>
      <c r="D21" s="33" t="s">
        <v>1</v>
      </c>
      <c r="E21" s="33" t="s">
        <v>10</v>
      </c>
      <c r="F21" s="33" t="s">
        <v>67</v>
      </c>
      <c r="G21" s="33" t="s">
        <v>61</v>
      </c>
      <c r="H21" s="33" t="s">
        <v>62</v>
      </c>
      <c r="I21" s="33" t="s">
        <v>62</v>
      </c>
      <c r="J21" s="33" t="s">
        <v>96</v>
      </c>
      <c r="K21" s="33" t="s">
        <v>97</v>
      </c>
      <c r="L21" s="34" t="s">
        <v>82</v>
      </c>
    </row>
    <row r="22" spans="3:12" x14ac:dyDescent="0.3">
      <c r="C22" s="35">
        <v>46023</v>
      </c>
      <c r="D22" s="36" t="s">
        <v>69</v>
      </c>
      <c r="E22" s="36">
        <v>1234567890</v>
      </c>
      <c r="F22" s="36" t="s">
        <v>95</v>
      </c>
      <c r="G22" s="36">
        <v>450</v>
      </c>
      <c r="H22" s="36">
        <v>5500</v>
      </c>
      <c r="I22" s="36">
        <f>H22</f>
        <v>5500</v>
      </c>
      <c r="J22" s="36"/>
      <c r="K22" s="36"/>
      <c r="L22" s="34">
        <f>I22</f>
        <v>5500</v>
      </c>
    </row>
    <row r="23" spans="3:12" x14ac:dyDescent="0.3">
      <c r="C23" s="35">
        <v>46023</v>
      </c>
      <c r="D23" s="36" t="s">
        <v>68</v>
      </c>
      <c r="E23" s="36">
        <v>1234567890</v>
      </c>
      <c r="F23" s="36" t="s">
        <v>93</v>
      </c>
      <c r="G23" s="36">
        <v>470</v>
      </c>
      <c r="H23" s="36">
        <v>8</v>
      </c>
      <c r="I23" s="36">
        <f>G23*H23</f>
        <v>3760</v>
      </c>
      <c r="J23" s="36"/>
      <c r="K23" s="36"/>
      <c r="L23" s="34">
        <f>I23</f>
        <v>3760</v>
      </c>
    </row>
    <row r="24" spans="3:12" x14ac:dyDescent="0.3">
      <c r="C24" s="35">
        <v>46023</v>
      </c>
      <c r="D24" s="36" t="s">
        <v>70</v>
      </c>
      <c r="E24" s="36">
        <v>1234567890</v>
      </c>
      <c r="F24" s="36" t="s">
        <v>94</v>
      </c>
      <c r="G24" s="36">
        <v>420</v>
      </c>
      <c r="H24" s="36">
        <v>8</v>
      </c>
      <c r="I24" s="36">
        <f>G24*H24</f>
        <v>3360</v>
      </c>
      <c r="J24" s="36"/>
      <c r="K24" s="36"/>
      <c r="L24" s="34">
        <f>I24</f>
        <v>3360</v>
      </c>
    </row>
    <row r="25" spans="3:12" x14ac:dyDescent="0.3">
      <c r="C25" s="35">
        <v>46023</v>
      </c>
      <c r="D25" s="36" t="s">
        <v>71</v>
      </c>
      <c r="E25" s="36">
        <v>1234567890</v>
      </c>
      <c r="F25" s="36" t="s">
        <v>95</v>
      </c>
      <c r="G25" s="36">
        <v>460</v>
      </c>
      <c r="H25" s="36">
        <v>5500</v>
      </c>
      <c r="I25" s="36">
        <f>H25</f>
        <v>5500</v>
      </c>
      <c r="J25" s="36"/>
      <c r="K25" s="36">
        <f>10*11</f>
        <v>110</v>
      </c>
      <c r="L25" s="34">
        <f>I25+K25</f>
        <v>5610</v>
      </c>
    </row>
    <row r="26" spans="3:12" x14ac:dyDescent="0.3">
      <c r="C26" s="35">
        <v>46023</v>
      </c>
      <c r="D26" s="36" t="s">
        <v>74</v>
      </c>
      <c r="E26" s="36">
        <v>1234567890</v>
      </c>
      <c r="F26" s="36" t="s">
        <v>95</v>
      </c>
      <c r="G26" s="36">
        <v>410</v>
      </c>
      <c r="H26" s="36">
        <v>5500</v>
      </c>
      <c r="I26" s="36">
        <f>H26</f>
        <v>5500</v>
      </c>
      <c r="J26" s="36">
        <f>40*13</f>
        <v>520</v>
      </c>
      <c r="K26" s="36"/>
      <c r="L26" s="34">
        <f>I26-J26</f>
        <v>4980</v>
      </c>
    </row>
    <row r="27" spans="3:12" x14ac:dyDescent="0.3">
      <c r="C27" s="40"/>
      <c r="D27" s="36"/>
      <c r="E27" s="36"/>
      <c r="F27" s="36"/>
      <c r="G27" s="36"/>
      <c r="H27" s="36"/>
      <c r="I27" s="36"/>
      <c r="J27" s="36"/>
      <c r="K27" s="36"/>
      <c r="L27" s="41"/>
    </row>
    <row r="28" spans="3:12" x14ac:dyDescent="0.3">
      <c r="C28" s="40"/>
      <c r="D28" s="36"/>
      <c r="E28" s="36"/>
      <c r="F28" s="24" t="s">
        <v>63</v>
      </c>
      <c r="G28" s="24" t="s">
        <v>98</v>
      </c>
      <c r="H28" s="36"/>
      <c r="I28" s="36"/>
      <c r="J28" s="36"/>
      <c r="K28" s="36"/>
      <c r="L28" s="41"/>
    </row>
    <row r="29" spans="3:12" x14ac:dyDescent="0.3">
      <c r="C29" s="40"/>
      <c r="D29" s="36"/>
      <c r="E29" s="36"/>
      <c r="F29" s="24" t="s">
        <v>64</v>
      </c>
      <c r="G29" s="24" t="s">
        <v>88</v>
      </c>
      <c r="H29" s="36"/>
      <c r="I29" s="36"/>
      <c r="J29" s="36"/>
      <c r="K29" s="36"/>
      <c r="L29" s="41"/>
    </row>
    <row r="30" spans="3:12" x14ac:dyDescent="0.3">
      <c r="C30" s="40"/>
      <c r="D30" s="36"/>
      <c r="E30" s="36"/>
      <c r="F30" s="24" t="s">
        <v>81</v>
      </c>
      <c r="G30" s="24" t="s">
        <v>66</v>
      </c>
      <c r="H30" s="36"/>
      <c r="I30" s="36"/>
      <c r="J30" s="36"/>
      <c r="K30" s="36"/>
      <c r="L30" s="41"/>
    </row>
    <row r="31" spans="3:12" x14ac:dyDescent="0.3">
      <c r="C31" s="40"/>
      <c r="D31" s="36"/>
      <c r="E31" s="36"/>
      <c r="F31" s="24" t="s">
        <v>89</v>
      </c>
      <c r="G31" s="24" t="s">
        <v>91</v>
      </c>
      <c r="H31" s="24"/>
      <c r="I31" s="24"/>
      <c r="J31" s="24"/>
      <c r="K31" s="24"/>
      <c r="L31" s="41"/>
    </row>
    <row r="32" spans="3:12" x14ac:dyDescent="0.3">
      <c r="C32" s="29" t="s">
        <v>100</v>
      </c>
      <c r="D32" s="30"/>
      <c r="E32" s="30"/>
      <c r="F32" s="30"/>
      <c r="G32" s="30"/>
      <c r="H32" s="30"/>
      <c r="I32" s="30"/>
      <c r="J32" s="30"/>
      <c r="K32" s="30"/>
      <c r="L32" s="31"/>
    </row>
    <row r="33" spans="3:12" x14ac:dyDescent="0.3">
      <c r="C33" s="32" t="s">
        <v>39</v>
      </c>
      <c r="D33" s="33" t="s">
        <v>1</v>
      </c>
      <c r="E33" s="33" t="s">
        <v>10</v>
      </c>
      <c r="F33" s="33" t="s">
        <v>67</v>
      </c>
      <c r="G33" s="33" t="s">
        <v>61</v>
      </c>
      <c r="H33" s="33" t="s">
        <v>62</v>
      </c>
      <c r="I33" s="33" t="s">
        <v>62</v>
      </c>
      <c r="J33" s="33" t="s">
        <v>96</v>
      </c>
      <c r="K33" s="33" t="s">
        <v>97</v>
      </c>
      <c r="L33" s="34" t="s">
        <v>82</v>
      </c>
    </row>
    <row r="34" spans="3:12" x14ac:dyDescent="0.3">
      <c r="C34" s="35">
        <v>46023</v>
      </c>
      <c r="D34" s="36" t="s">
        <v>69</v>
      </c>
      <c r="E34" s="36">
        <v>1234567890</v>
      </c>
      <c r="F34" s="36" t="s">
        <v>95</v>
      </c>
      <c r="G34" s="36">
        <v>450</v>
      </c>
      <c r="H34" s="36">
        <v>6000</v>
      </c>
      <c r="I34" s="36">
        <f>H34</f>
        <v>6000</v>
      </c>
      <c r="J34" s="36"/>
      <c r="K34" s="36"/>
      <c r="L34" s="34">
        <f>I34</f>
        <v>6000</v>
      </c>
    </row>
    <row r="35" spans="3:12" x14ac:dyDescent="0.3">
      <c r="C35" s="35">
        <v>46023</v>
      </c>
      <c r="D35" s="36" t="s">
        <v>68</v>
      </c>
      <c r="E35" s="36">
        <v>1234567890</v>
      </c>
      <c r="F35" s="36" t="s">
        <v>93</v>
      </c>
      <c r="G35" s="36">
        <v>470</v>
      </c>
      <c r="H35" s="36">
        <v>8</v>
      </c>
      <c r="I35" s="36">
        <f>G35*H35</f>
        <v>3760</v>
      </c>
      <c r="J35" s="36"/>
      <c r="K35" s="36"/>
      <c r="L35" s="34">
        <f>I35</f>
        <v>3760</v>
      </c>
    </row>
    <row r="36" spans="3:12" x14ac:dyDescent="0.3">
      <c r="C36" s="35">
        <v>46023</v>
      </c>
      <c r="D36" s="36" t="s">
        <v>70</v>
      </c>
      <c r="E36" s="36">
        <v>1234567890</v>
      </c>
      <c r="F36" s="36" t="s">
        <v>94</v>
      </c>
      <c r="G36" s="36">
        <v>420</v>
      </c>
      <c r="H36" s="36">
        <v>8</v>
      </c>
      <c r="I36" s="36">
        <f>G36*H36</f>
        <v>3360</v>
      </c>
      <c r="J36" s="36"/>
      <c r="K36" s="36"/>
      <c r="L36" s="34">
        <f>I36</f>
        <v>3360</v>
      </c>
    </row>
    <row r="37" spans="3:12" x14ac:dyDescent="0.3">
      <c r="C37" s="35">
        <v>46023</v>
      </c>
      <c r="D37" s="36" t="s">
        <v>71</v>
      </c>
      <c r="E37" s="36">
        <v>1234567890</v>
      </c>
      <c r="F37" s="36" t="s">
        <v>95</v>
      </c>
      <c r="G37" s="36">
        <v>460</v>
      </c>
      <c r="H37" s="36">
        <v>6000</v>
      </c>
      <c r="I37" s="36">
        <f>H37</f>
        <v>6000</v>
      </c>
      <c r="J37" s="36"/>
      <c r="K37" s="36">
        <f>10*11</f>
        <v>110</v>
      </c>
      <c r="L37" s="34">
        <f>I37+K37</f>
        <v>6110</v>
      </c>
    </row>
    <row r="38" spans="3:12" ht="15" thickBot="1" x14ac:dyDescent="0.35">
      <c r="C38" s="42">
        <v>46023</v>
      </c>
      <c r="D38" s="38" t="s">
        <v>74</v>
      </c>
      <c r="E38" s="38">
        <v>1234567890</v>
      </c>
      <c r="F38" s="38" t="s">
        <v>95</v>
      </c>
      <c r="G38" s="38">
        <v>410</v>
      </c>
      <c r="H38" s="38">
        <v>6000</v>
      </c>
      <c r="I38" s="38">
        <f>H38</f>
        <v>6000</v>
      </c>
      <c r="J38" s="38">
        <f>40*13</f>
        <v>520</v>
      </c>
      <c r="K38" s="38"/>
      <c r="L38" s="43">
        <f>I38-J38</f>
        <v>5480</v>
      </c>
    </row>
    <row r="39" spans="3:12" s="19" customFormat="1" x14ac:dyDescent="0.3"/>
    <row r="40" spans="3:12" x14ac:dyDescent="0.3">
      <c r="C40" s="18" t="s">
        <v>102</v>
      </c>
      <c r="D40" s="18"/>
      <c r="E40" s="18"/>
      <c r="F40" s="18"/>
      <c r="G40" s="18"/>
      <c r="H40" s="18"/>
      <c r="I40" s="18"/>
      <c r="J40" s="18"/>
      <c r="K40" s="18"/>
      <c r="L40" s="18"/>
    </row>
  </sheetData>
  <mergeCells count="8">
    <mergeCell ref="C15:L15"/>
    <mergeCell ref="C20:L20"/>
    <mergeCell ref="C32:L32"/>
    <mergeCell ref="C40:L40"/>
    <mergeCell ref="C6:L6"/>
    <mergeCell ref="N6:S6"/>
    <mergeCell ref="C1:L1"/>
    <mergeCell ref="W6:AC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 sub ledger</vt:lpstr>
      <vt:lpstr>main ledger</vt:lpstr>
      <vt:lpstr>Dashboard</vt:lpstr>
      <vt:lpstr>Logitics Driver Salary</vt:lpstr>
      <vt:lpstr>office employee salary</vt:lpstr>
      <vt:lpstr>Riders 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Saifullah  M.Saleem</dc:creator>
  <cp:lastModifiedBy>Saifullah  M.Saleem</cp:lastModifiedBy>
  <dcterms:created xsi:type="dcterms:W3CDTF">2026-03-12T13:47:51Z</dcterms:created>
  <dcterms:modified xsi:type="dcterms:W3CDTF">2026-03-12T17:43:20Z</dcterms:modified>
</cp:coreProperties>
</file>